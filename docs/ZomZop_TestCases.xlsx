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laragon\www\ZomZop\docs\"/>
    </mc:Choice>
  </mc:AlternateContent>
  <xr:revisionPtr revIDLastSave="0" documentId="13_ncr:1_{1CEFA0C1-9CDF-423A-90EA-FC2A2C6B4F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ướng dẫn" sheetId="1" r:id="rId1"/>
    <sheet name="Test Cases" sheetId="2" r:id="rId2"/>
    <sheet name="Tổng hợp" sheetId="3" r:id="rId3"/>
    <sheet name="Bug Report" sheetId="4" r:id="rId4"/>
  </sheets>
  <definedNames>
    <definedName name="_xlnm._FilterDatabase" localSheetId="3" hidden="1">'Bug Report'!$A$1:$P$100</definedName>
    <definedName name="_xlnm._FilterDatabase" localSheetId="1" hidden="1">'Test Cases'!$A$1:$P$204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C32" i="3"/>
  <c r="D32" i="3" s="1"/>
  <c r="C31" i="3"/>
  <c r="D31" i="3" s="1"/>
  <c r="C30" i="3"/>
  <c r="D30" i="3" s="1"/>
  <c r="C29" i="3"/>
  <c r="D29" i="3" s="1"/>
  <c r="E21" i="3"/>
  <c r="D21" i="3"/>
  <c r="C21" i="3"/>
  <c r="E20" i="3"/>
  <c r="D20" i="3"/>
  <c r="F20" i="3" s="1"/>
  <c r="C20" i="3"/>
  <c r="E19" i="3"/>
  <c r="D19" i="3"/>
  <c r="F19" i="3" s="1"/>
  <c r="C19" i="3"/>
  <c r="K14" i="3"/>
  <c r="G14" i="3"/>
  <c r="F14" i="3"/>
  <c r="E14" i="3"/>
  <c r="D14" i="3"/>
  <c r="C14" i="3"/>
  <c r="K13" i="3"/>
  <c r="G13" i="3"/>
  <c r="F13" i="3"/>
  <c r="E13" i="3"/>
  <c r="D13" i="3"/>
  <c r="C13" i="3"/>
  <c r="K12" i="3"/>
  <c r="G12" i="3"/>
  <c r="F12" i="3"/>
  <c r="E12" i="3"/>
  <c r="D12" i="3"/>
  <c r="H12" i="3" s="1"/>
  <c r="C12" i="3"/>
  <c r="K11" i="3"/>
  <c r="G11" i="3"/>
  <c r="F11" i="3"/>
  <c r="E11" i="3"/>
  <c r="D11" i="3"/>
  <c r="H11" i="3" s="1"/>
  <c r="C11" i="3"/>
  <c r="K10" i="3"/>
  <c r="G10" i="3"/>
  <c r="F10" i="3"/>
  <c r="E10" i="3"/>
  <c r="D10" i="3"/>
  <c r="H10" i="3" s="1"/>
  <c r="J10" i="3" s="1"/>
  <c r="C10" i="3"/>
  <c r="K9" i="3"/>
  <c r="G9" i="3"/>
  <c r="F9" i="3"/>
  <c r="E9" i="3"/>
  <c r="D9" i="3"/>
  <c r="H9" i="3" s="1"/>
  <c r="J9" i="3" s="1"/>
  <c r="C9" i="3"/>
  <c r="K8" i="3"/>
  <c r="G8" i="3"/>
  <c r="F8" i="3"/>
  <c r="E8" i="3"/>
  <c r="D8" i="3"/>
  <c r="H8" i="3" s="1"/>
  <c r="J8" i="3" s="1"/>
  <c r="C8" i="3"/>
  <c r="K7" i="3"/>
  <c r="G7" i="3"/>
  <c r="F7" i="3"/>
  <c r="E7" i="3"/>
  <c r="D7" i="3"/>
  <c r="H7" i="3" s="1"/>
  <c r="J7" i="3" s="1"/>
  <c r="C7" i="3"/>
  <c r="K6" i="3"/>
  <c r="G6" i="3"/>
  <c r="F6" i="3"/>
  <c r="E6" i="3"/>
  <c r="D6" i="3"/>
  <c r="H6" i="3" s="1"/>
  <c r="J6" i="3" s="1"/>
  <c r="C6" i="3"/>
  <c r="K5" i="3"/>
  <c r="K15" i="3" s="1"/>
  <c r="G5" i="3"/>
  <c r="G15" i="3" s="1"/>
  <c r="F5" i="3"/>
  <c r="F15" i="3" s="1"/>
  <c r="E5" i="3"/>
  <c r="E15" i="3" s="1"/>
  <c r="D5" i="3"/>
  <c r="C5" i="3"/>
  <c r="C9" i="1"/>
  <c r="H14" i="3" l="1"/>
  <c r="F21" i="3"/>
  <c r="I10" i="3"/>
  <c r="I9" i="3"/>
  <c r="I6" i="3"/>
  <c r="H13" i="3"/>
  <c r="I8" i="3"/>
  <c r="I7" i="3"/>
  <c r="J12" i="3"/>
  <c r="I12" i="3"/>
  <c r="I11" i="3"/>
  <c r="J11" i="3"/>
  <c r="D15" i="3"/>
  <c r="H5" i="3"/>
  <c r="C15" i="3"/>
  <c r="I5" i="3"/>
  <c r="I14" i="3" l="1"/>
  <c r="J14" i="3"/>
  <c r="I13" i="3"/>
  <c r="J13" i="3"/>
  <c r="H15" i="3"/>
  <c r="J5" i="3"/>
  <c r="I15" i="3" l="1"/>
  <c r="J15" i="3"/>
  <c r="B24" i="3"/>
</calcChain>
</file>

<file path=xl/sharedStrings.xml><?xml version="1.0" encoding="utf-8"?>
<sst xmlns="http://schemas.openxmlformats.org/spreadsheetml/2006/main" count="2362" uniqueCount="1107">
  <si>
    <t>Mã TC</t>
  </si>
  <si>
    <t>Module</t>
  </si>
  <si>
    <t>Chức năng</t>
  </si>
  <si>
    <t>Tiêu đề test case</t>
  </si>
  <si>
    <t>Tiền điều kiện</t>
  </si>
  <si>
    <t>Các bước thực hiện</t>
  </si>
  <si>
    <t>Dữ liệu test</t>
  </si>
  <si>
    <t>Kết quả mong đợi</t>
  </si>
  <si>
    <t>Ưu tiên</t>
  </si>
  <si>
    <t>Loại test</t>
  </si>
  <si>
    <t>Kết quả thực tế</t>
  </si>
  <si>
    <t>Trạng thái</t>
  </si>
  <si>
    <t>Người test</t>
  </si>
  <si>
    <t>Ngày test</t>
  </si>
  <si>
    <t>Mã lỗi</t>
  </si>
  <si>
    <t>Ghi chú</t>
  </si>
  <si>
    <t>AUTH-001</t>
  </si>
  <si>
    <t>Xác thực</t>
  </si>
  <si>
    <t>Đăng ký</t>
  </si>
  <si>
    <t>Đăng ký thành công với dữ liệu hợp lệ</t>
  </si>
  <si>
    <t>Chưa đăng nhập</t>
  </si>
  <si>
    <t>1. Vào /register
2. Nhập đủ thông tin
3. Bấm Đăng ký</t>
  </si>
  <si>
    <t>Tên: Nguyễn Văn A
Email: test01@gmail.com
SĐT: 0901234567
MK: 123456 / Nhập lại: 123456</t>
  </si>
  <si>
    <t>Tạo tài khoản role customer, tự đăng nhập, về trang chủ với thông báo "Đăng ký thành công! Chào mừng bạn đến với ZomZop"</t>
  </si>
  <si>
    <t>Cao</t>
  </si>
  <si>
    <t>Not Run</t>
  </si>
  <si>
    <t>AUTH-002</t>
  </si>
  <si>
    <t>Đăng ký với email đã tồn tại</t>
  </si>
  <si>
    <t>Đã có tài khoản test01@gmail.com</t>
  </si>
  <si>
    <t>1. Vào /register
2. Nhập email trùng
3. Bấm Đăng ký</t>
  </si>
  <si>
    <t>Email: test01@gmail.com</t>
  </si>
  <si>
    <t>Báo lỗi email đã được sử dụng, không tạo tài khoản mới</t>
  </si>
  <si>
    <t>Âm tính</t>
  </si>
  <si>
    <t>AUTH-003</t>
  </si>
  <si>
    <t>Mật khẩu xác nhận không khớp</t>
  </si>
  <si>
    <t>1. Nhập MK và Nhập lại khác nhau
2. Bấm Đăng ký</t>
  </si>
  <si>
    <t>MK: 123456 / Nhập lại: 654321</t>
  </si>
  <si>
    <t>Báo lỗi xác nhận mật khẩu không khớp</t>
  </si>
  <si>
    <t>Trung bình</t>
  </si>
  <si>
    <t>AUTH-004</t>
  </si>
  <si>
    <t>Mật khẩu ngắn hơn 6 ký tự</t>
  </si>
  <si>
    <t>1. Nhập MK 5 ký tự
2. Bấm Đăng ký</t>
  </si>
  <si>
    <t>MK: 12345</t>
  </si>
  <si>
    <t>Báo lỗi mật khẩu tối thiểu 6 ký tự</t>
  </si>
  <si>
    <t>Biên</t>
  </si>
  <si>
    <t>AUTH-005</t>
  </si>
  <si>
    <t>Mật khẩu đúng 6 ký tự (biên dưới)</t>
  </si>
  <si>
    <t>1. Nhập MK 6 ký tự hợp lệ
2. Bấm Đăng ký</t>
  </si>
  <si>
    <t>MK: 123456</t>
  </si>
  <si>
    <t>Đăng ký thành công</t>
  </si>
  <si>
    <t>Thấp</t>
  </si>
  <si>
    <t>AUTH-006</t>
  </si>
  <si>
    <t>Bỏ trống các trường bắt buộc</t>
  </si>
  <si>
    <t>1. Để trống toàn bộ form
2. Bấm Đăng ký</t>
  </si>
  <si>
    <t>(trống)</t>
  </si>
  <si>
    <t>Báo lỗi ở từng trường Tên, Email, SĐT, Mật khẩu</t>
  </si>
  <si>
    <t>AUTH-007</t>
  </si>
  <si>
    <t>Email sai định dạng</t>
  </si>
  <si>
    <t>1. Nhập email sai
2. Bấm Đăng ký</t>
  </si>
  <si>
    <t>Email: test01@</t>
  </si>
  <si>
    <t>Báo lỗi email không hợp lệ</t>
  </si>
  <si>
    <t>AUTH-008</t>
  </si>
  <si>
    <t>Số điện thoại dài quá 15 ký tự</t>
  </si>
  <si>
    <t>1. Nhập SĐT 16 số
2. Bấm Đăng ký</t>
  </si>
  <si>
    <t>SĐT: 0901234567890123</t>
  </si>
  <si>
    <t>Báo lỗi SĐT tối đa 15 ký tự</t>
  </si>
  <si>
    <t>AUTH-009</t>
  </si>
  <si>
    <t>Đăng nhập</t>
  </si>
  <si>
    <t>Đăng nhập khách hàng thành công</t>
  </si>
  <si>
    <t>Có tài khoản customer đang hoạt động</t>
  </si>
  <si>
    <t>1. Vào /login
2. Nhập email, MK đúng
3. Bấm Đăng nhập</t>
  </si>
  <si>
    <t>test01@gmail.com / 123456</t>
  </si>
  <si>
    <t>Đăng nhập thành công, về trang chủ, header hiện tên người dùng</t>
  </si>
  <si>
    <t>AUTH-010</t>
  </si>
  <si>
    <t>Đăng nhập manager chuyển đúng khu vực</t>
  </si>
  <si>
    <t>Có tài khoản manager</t>
  </si>
  <si>
    <t>1. Đăng nhập bằng tài khoản manager</t>
  </si>
  <si>
    <t>Tài khoản manager</t>
  </si>
  <si>
    <t>Vào trang quản lý chi nhánh (/manager)</t>
  </si>
  <si>
    <t>AUTH-011</t>
  </si>
  <si>
    <t>Đăng nhập admin chuyển đúng khu vực</t>
  </si>
  <si>
    <t>Có tài khoản admin</t>
  </si>
  <si>
    <t>1. Đăng nhập bằng tài khoản admin</t>
  </si>
  <si>
    <t>Tài khoản admin</t>
  </si>
  <si>
    <t>Vào trang quản trị (/admin)</t>
  </si>
  <si>
    <t>AUTH-012</t>
  </si>
  <si>
    <t>Đăng nhập staff/kitchen chuyển đúng khu vực</t>
  </si>
  <si>
    <t>Có tài khoản staff và kitchen</t>
  </si>
  <si>
    <t>1. Đăng nhập lần lượt từng tài khoản</t>
  </si>
  <si>
    <t>Tài khoản staff, kitchen</t>
  </si>
  <si>
    <t>Staff vào /staff; Kitchen vào /kitchen</t>
  </si>
  <si>
    <t>AUTH-013</t>
  </si>
  <si>
    <t>Sai mật khẩu</t>
  </si>
  <si>
    <t>Có tài khoản</t>
  </si>
  <si>
    <t>1. Nhập MK sai
2. Bấm Đăng nhập</t>
  </si>
  <si>
    <t>test01@gmail.com / sai123</t>
  </si>
  <si>
    <t>Báo lỗi sai thông tin đăng nhập, không lộ email có tồn tại hay không</t>
  </si>
  <si>
    <t>AUTH-014</t>
  </si>
  <si>
    <t>Tài khoản bị khóa không đăng nhập được</t>
  </si>
  <si>
    <t>Tài khoản đã bị admin/manager khóa</t>
  </si>
  <si>
    <t>1. Đăng nhập bằng tài khoản bị khóa</t>
  </si>
  <si>
    <t>Tài khoản bị khóa</t>
  </si>
  <si>
    <t>Báo tài khoản đã bị khóa, không vào được hệ thống</t>
  </si>
  <si>
    <t>Bảo mật</t>
  </si>
  <si>
    <t>AUTH-015</t>
  </si>
  <si>
    <t>Đăng nhập bằng Google</t>
  </si>
  <si>
    <t>Đã cấu hình Google OAuth</t>
  </si>
  <si>
    <t>1. Bấm "Đăng nhập với Google"
2. Chọn tài khoản Google</t>
  </si>
  <si>
    <t>Tài khoản Google hợp lệ</t>
  </si>
  <si>
    <t>Đăng nhập thành công; lần đầu thì tự tạo tài khoản customer</t>
  </si>
  <si>
    <t>Tích hợp</t>
  </si>
  <si>
    <t>AUTH-016</t>
  </si>
  <si>
    <t>Đăng nhập bằng Facebook</t>
  </si>
  <si>
    <t>Đã cấu hình Facebook OAuth</t>
  </si>
  <si>
    <t>1. Bấm "Đăng nhập với Facebook"
2. Cho phép ứng dụng</t>
  </si>
  <si>
    <t>Tài khoản Facebook hợp lệ</t>
  </si>
  <si>
    <t>Đăng nhập thành công</t>
  </si>
  <si>
    <t>AUTH-017</t>
  </si>
  <si>
    <t>Hủy đăng nhập Google giữa chừng</t>
  </si>
  <si>
    <t>1. Bấm Google
2. Đóng/hủy ở màn hình Google</t>
  </si>
  <si>
    <t>-</t>
  </si>
  <si>
    <t>Quay lại trang đăng nhập với thông báo lỗi thân thiện, không văng lỗi 500</t>
  </si>
  <si>
    <t>AUTH-018</t>
  </si>
  <si>
    <t>Đăng xuất</t>
  </si>
  <si>
    <t>Đang đăng nhập</t>
  </si>
  <si>
    <t>1. Bấm Đăng xuất</t>
  </si>
  <si>
    <t>Về trang /login với thông báo "Đã đăng xuất thành công!"; bấm Back không vào lại được trang cần đăng nhập</t>
  </si>
  <si>
    <t>AUTH-019</t>
  </si>
  <si>
    <t>Phân quyền</t>
  </si>
  <si>
    <t>Khách vào trang manager bị chặn</t>
  </si>
  <si>
    <t>Đăng nhập customer</t>
  </si>
  <si>
    <t>1. Gõ trực tiếp /manager</t>
  </si>
  <si>
    <t>Trả về 403, không thấy dữ liệu quản lý</t>
  </si>
  <si>
    <t>AUTH-020</t>
  </si>
  <si>
    <t>Manager vào trang admin bị chặn</t>
  </si>
  <si>
    <t>Đăng nhập manager</t>
  </si>
  <si>
    <t>1. Gõ trực tiếp /admin</t>
  </si>
  <si>
    <t>Trả về 403</t>
  </si>
  <si>
    <t>AUTH-021</t>
  </si>
  <si>
    <t>Staff không vào được /kitchen</t>
  </si>
  <si>
    <t>Đăng nhập staff</t>
  </si>
  <si>
    <t>1. Gõ trực tiếp /kitchen</t>
  </si>
  <si>
    <t>AUTH-022</t>
  </si>
  <si>
    <t>Chưa đăng nhập vào trang cần đăng nhập</t>
  </si>
  <si>
    <t>1. Gõ /checkout, /orders, /profile</t>
  </si>
  <si>
    <t>Chuyển về /login</t>
  </si>
  <si>
    <t>AUTH-023</t>
  </si>
  <si>
    <t>Đã đăng nhập vào /login</t>
  </si>
  <si>
    <t>1. Gõ /login</t>
  </si>
  <si>
    <t>Không hiện form đăng nhập, chuyển về trang phù hợp</t>
  </si>
  <si>
    <t>MENU-001</t>
  </si>
  <si>
    <t>Thực đơn</t>
  </si>
  <si>
    <t>Chọn chi nhánh</t>
  </si>
  <si>
    <t>Chọn chi nhánh trước khi đặt</t>
  </si>
  <si>
    <t>Chưa chọn chi nhánh</t>
  </si>
  <si>
    <t>1. Vào /branches/select
2. Chọn 1 chi nhánh
3. Xác nhận</t>
  </si>
  <si>
    <t>Chi nhánh đang mở</t>
  </si>
  <si>
    <t>Lưu chi nhánh đã chọn, header hiện tên chi nhánh, giá món hiển thị theo chi nhánh</t>
  </si>
  <si>
    <t>MENU-002</t>
  </si>
  <si>
    <t>Chi nhánh tạm đóng không hiện để chọn</t>
  </si>
  <si>
    <t>Admin đã tạm đóng 1 chi nhánh</t>
  </si>
  <si>
    <t>1. Vào /branches/select</t>
  </si>
  <si>
    <t>Chi nhánh bị đóng không hiển thị/không chọn được</t>
  </si>
  <si>
    <t>MENU-003</t>
  </si>
  <si>
    <t>Thêm món khi chưa chọn chi nhánh</t>
  </si>
  <si>
    <t>1. Bấm Thêm vào giỏ ở 1 món</t>
  </si>
  <si>
    <t>Báo "Vui lòng chọn chi nhánh trước!" và chuyển tới trang chọn chi nhánh</t>
  </si>
  <si>
    <t>MENU-004</t>
  </si>
  <si>
    <t>Xem &amp; tìm món</t>
  </si>
  <si>
    <t>Trang chủ hiển thị đầy đủ</t>
  </si>
  <si>
    <t>1. Vào trang chủ</t>
  </si>
  <si>
    <t>Hiện banner, danh mục, món bán chạy, món đề xuất của bếp; không ảnh vỡ</t>
  </si>
  <si>
    <t>Giao diện</t>
  </si>
  <si>
    <t>MENU-005</t>
  </si>
  <si>
    <t>Xem toàn bộ thực đơn</t>
  </si>
  <si>
    <t>Đã chọn chi nhánh</t>
  </si>
  <si>
    <t>1. Vào /thuc-don</t>
  </si>
  <si>
    <t>Hiện món theo danh mục, giá đúng theo chi nhánh đã chọn</t>
  </si>
  <si>
    <t>MENU-006</t>
  </si>
  <si>
    <t>Xem món theo danh mục</t>
  </si>
  <si>
    <t>1. Bấm vào 1 danh mục</t>
  </si>
  <si>
    <t>VD: Gà rán</t>
  </si>
  <si>
    <t>Chỉ hiện món thuộc danh mục đó</t>
  </si>
  <si>
    <t>MENU-007</t>
  </si>
  <si>
    <t>Danh mục không tồn tại</t>
  </si>
  <si>
    <t>1. Gõ /category/khong-ton-tai</t>
  </si>
  <si>
    <t>Trả về trang 404</t>
  </si>
  <si>
    <t>MENU-008</t>
  </si>
  <si>
    <t>Xem trang Bán chạy</t>
  </si>
  <si>
    <t>Có dữ liệu đơn hàng</t>
  </si>
  <si>
    <t>1. Vào /ban-chay</t>
  </si>
  <si>
    <t>Hiện món bán chạy theo thứ tự số lượng giảm dần</t>
  </si>
  <si>
    <t>MENU-009</t>
  </si>
  <si>
    <t>Tìm kiếm món có kết quả</t>
  </si>
  <si>
    <t>1. Gõ từ khóa vào ô tìm kiếm</t>
  </si>
  <si>
    <t>VD: gà</t>
  </si>
  <si>
    <t>Hiện các món có tên chứa từ khóa</t>
  </si>
  <si>
    <t>MENU-010</t>
  </si>
  <si>
    <t>Tìm kiếm không có kết quả</t>
  </si>
  <si>
    <t>1. Gõ từ khóa không tồn tại</t>
  </si>
  <si>
    <t>xyzabc</t>
  </si>
  <si>
    <t>Hiện thông báo không tìm thấy món phù hợp</t>
  </si>
  <si>
    <t>MENU-011</t>
  </si>
  <si>
    <t>Tìm kiếm có ký tự đặc biệt</t>
  </si>
  <si>
    <t>1. Gõ ký tự đặc biệt</t>
  </si>
  <si>
    <t>&lt;script&gt;alert(1)&lt;/script&gt;</t>
  </si>
  <si>
    <t>Không chạy script, hiển thị như chữ thường, không lỗi 500</t>
  </si>
  <si>
    <t>MENU-012</t>
  </si>
  <si>
    <t>Xem chi tiết món</t>
  </si>
  <si>
    <t>1. Bấm vào 1 món</t>
  </si>
  <si>
    <t>Hiện popup chi tiết: ảnh, mô tả, giá, topping, đánh giá</t>
  </si>
  <si>
    <t>MENU-013</t>
  </si>
  <si>
    <t>Món hết hàng tại chi nhánh</t>
  </si>
  <si>
    <t>Manager đặt tồn kho = 0 hoặc tắt bán món</t>
  </si>
  <si>
    <t>1. Xem món đó ở chi nhánh này</t>
  </si>
  <si>
    <t>Món hiển thị hết hàng/không cho thêm vào giỏ</t>
  </si>
  <si>
    <t>MENU-014</t>
  </si>
  <si>
    <t>Yêu thích</t>
  </si>
  <si>
    <t>Thêm/bỏ món yêu thích</t>
  </si>
  <si>
    <t>1. Bấm biểu tượng tim ở 1 món
2. Bấm lại lần nữa</t>
  </si>
  <si>
    <t>Lần 1: tim tô màu, món có trong /favorites. Lần 2: bỏ tim, món biến mất khỏi danh sách</t>
  </si>
  <si>
    <t>MENU-015</t>
  </si>
  <si>
    <t>Bấm yêu thích khi chưa đăng nhập</t>
  </si>
  <si>
    <t>1. Bấm tim ở 1 món</t>
  </si>
  <si>
    <t>Yêu cầu đăng nhập</t>
  </si>
  <si>
    <t>CART-001</t>
  </si>
  <si>
    <t>Giỏ hàng</t>
  </si>
  <si>
    <t>Thêm / sửa / xóa</t>
  </si>
  <si>
    <t>Thêm món vào giỏ</t>
  </si>
  <si>
    <t>SL: 1</t>
  </si>
  <si>
    <t>Số trên icon giỏ tăng, có hiệu ứng phản hồi; món có trong /cart</t>
  </si>
  <si>
    <t>CART-002</t>
  </si>
  <si>
    <t>Thêm món kèm topping và ghi chú</t>
  </si>
  <si>
    <t>Món có topping</t>
  </si>
  <si>
    <t>1. Mở chi tiết món
2. Chọn topping + ghi chú
3. Thêm vào giỏ</t>
  </si>
  <si>
    <t>Topping: Phô mai; Ghi chú: ít cay</t>
  </si>
  <si>
    <t>Giỏ hiện đúng topping, ghi chú; giá = giá món + giá topping</t>
  </si>
  <si>
    <t>CART-003</t>
  </si>
  <si>
    <t>Thêm cùng món 2 lần gộp dòng</t>
  </si>
  <si>
    <t>1. Thêm món A (không topping) 2 lần</t>
  </si>
  <si>
    <t>Giỏ chỉ có 1 dòng món A, SL = 2</t>
  </si>
  <si>
    <t>CART-004</t>
  </si>
  <si>
    <t>Cùng món khác topping tách dòng</t>
  </si>
  <si>
    <t>1. Thêm món A không topping
2. Thêm món A có topping</t>
  </si>
  <si>
    <t>Giỏ có 2 dòng riêng</t>
  </si>
  <si>
    <t>CART-005</t>
  </si>
  <si>
    <t>Cập nhật số lượng</t>
  </si>
  <si>
    <t>Giỏ có món</t>
  </si>
  <si>
    <t>1. Vào /cart
2. Tăng SL lên 3</t>
  </si>
  <si>
    <t>SL: 3</t>
  </si>
  <si>
    <t>Thành tiền dòng và tổng tiền cập nhật đúng</t>
  </si>
  <si>
    <t>CART-006</t>
  </si>
  <si>
    <t>Đặt số lượng = 0</t>
  </si>
  <si>
    <t>1. Giảm SL về 0</t>
  </si>
  <si>
    <t>SL: 0</t>
  </si>
  <si>
    <t>Món bị xóa khỏi giỏ</t>
  </si>
  <si>
    <t>CART-007</t>
  </si>
  <si>
    <t>Số lượng vượt 99</t>
  </si>
  <si>
    <t>1. Nhập SL 100</t>
  </si>
  <si>
    <t>SL: 100</t>
  </si>
  <si>
    <t>Bị từ chối (tối đa 99)</t>
  </si>
  <si>
    <t>CART-008</t>
  </si>
  <si>
    <t>Xóa món khỏi giỏ</t>
  </si>
  <si>
    <t>1. Bấm Xóa ở 1 dòng</t>
  </si>
  <si>
    <t>Món biến mất, tổng tiền cập nhật</t>
  </si>
  <si>
    <t>CART-009</t>
  </si>
  <si>
    <t>Giỏ trống</t>
  </si>
  <si>
    <t>1. Vào /cart</t>
  </si>
  <si>
    <t>Hiện thông báo giỏ trống + nút quay lại thực đơn</t>
  </si>
  <si>
    <t>CART-010</t>
  </si>
  <si>
    <t>Đổi chi nhánh khi giỏ đang có món</t>
  </si>
  <si>
    <t>Giỏ có món của chi nhánh A</t>
  </si>
  <si>
    <t>1. Đổi sang chi nhánh B
2. Thêm món</t>
  </si>
  <si>
    <t>Giỏ chuyển sang chi nhánh B (không trộn món 2 chi nhánh trong 1 giỏ)</t>
  </si>
  <si>
    <t>CART-011</t>
  </si>
  <si>
    <t>Giỏ hàng giữ lại sau khi tải lại trang</t>
  </si>
  <si>
    <t>1. F5 trang</t>
  </si>
  <si>
    <t>Giỏ vẫn còn nguyên</t>
  </si>
  <si>
    <t>ORD-001</t>
  </si>
  <si>
    <t>Đặt hàng</t>
  </si>
  <si>
    <t>Checkout</t>
  </si>
  <si>
    <t>Đặt đơn mang đi thành công</t>
  </si>
  <si>
    <t>Đăng nhập customer, giỏ có món</t>
  </si>
  <si>
    <t>1. Vào /checkout
2. Chọn Mang đi
3. Chọn thanh toán
4. Đặt hàng</t>
  </si>
  <si>
    <t>Loại: Mang đi; TT: Tiền mặt</t>
  </si>
  <si>
    <t>Tạo đơn mã ZMZ-xxxxxx, trạng thái Chờ xác nhận, phí ship = 0, có mã nhận món 6 số; giỏ được làm trống</t>
  </si>
  <si>
    <t>ORD-002</t>
  </si>
  <si>
    <t>Đặt đơn giao hàng tiêu chuẩn</t>
  </si>
  <si>
    <t>Có địa chỉ giao hàng</t>
  </si>
  <si>
    <t>1. Chọn Giao hàng - Tiêu chuẩn
2. Chọn địa chỉ
3. Đặt hàng</t>
  </si>
  <si>
    <t>Loại: Giao hàng; Tốc độ: Tiêu chuẩn</t>
  </si>
  <si>
    <t>Phí ship = 15.000đ; Tổng = Tạm tính + 15.000 - Giảm giá</t>
  </si>
  <si>
    <t>ORD-003</t>
  </si>
  <si>
    <t>Đặt đơn giao hàng hỏa tốc</t>
  </si>
  <si>
    <t>1. Chọn Giao hàng - Hỏa tốc
2. Đặt hàng</t>
  </si>
  <si>
    <t>Tốc độ: Hỏa tốc</t>
  </si>
  <si>
    <t>Phí ship = 30.000đ</t>
  </si>
  <si>
    <t>ORD-004</t>
  </si>
  <si>
    <t>Giao hàng nhưng chưa có địa chỉ</t>
  </si>
  <si>
    <t>Tài khoản chưa có địa chỉ</t>
  </si>
  <si>
    <t>1. Chọn Giao hàng
2. Đặt hàng</t>
  </si>
  <si>
    <t>Chuyển tới trang địa chỉ với thông báo "Bạn cần thêm địa chỉ trước khi đặt đơn giao hàng."</t>
  </si>
  <si>
    <t>ORD-005</t>
  </si>
  <si>
    <t>Không chọn phương thức thanh toán</t>
  </si>
  <si>
    <t>1. Bỏ trống thanh toán
2. Đặt hàng</t>
  </si>
  <si>
    <t>Báo lỗi bắt buộc chọn phương thức thanh toán</t>
  </si>
  <si>
    <t>ORD-006</t>
  </si>
  <si>
    <t>Phương thức thanh toán đang tạm ngưng</t>
  </si>
  <si>
    <t>Admin tắt 1 phương thức trong Cài đặt</t>
  </si>
  <si>
    <t>1. Cố gửi đơn với phương thức đã tắt</t>
  </si>
  <si>
    <t>Báo "Phương thức thanh toán này đang tạm ngưng, vui lòng chọn cách khác."</t>
  </si>
  <si>
    <t>ORD-007</t>
  </si>
  <si>
    <t>Ghi chú đơn dài quá 500 ký tự</t>
  </si>
  <si>
    <t>1. Nhập ghi chú 501 ký tự
2. Đặt hàng</t>
  </si>
  <si>
    <t>501 ký tự</t>
  </si>
  <si>
    <t>Báo lỗi ghi chú tối đa 500 ký tự</t>
  </si>
  <si>
    <t>ORD-008</t>
  </si>
  <si>
    <t>Giá món đổi trong lúc checkout</t>
  </si>
  <si>
    <t>Giỏ có món A</t>
  </si>
  <si>
    <t>1. Mở checkout
2. (Tab khác) Manager đổi giá món A
3. Bấm Đặt hàng</t>
  </si>
  <si>
    <t>Không đặt đơn; quay lại checkout và báo món đã đổi giá để khách xem lại</t>
  </si>
  <si>
    <t>ORD-009</t>
  </si>
  <si>
    <t>Món hết hàng trong lúc checkout</t>
  </si>
  <si>
    <t>1. Manager tắt bán món A
2. Khách bấm Đặt hàng</t>
  </si>
  <si>
    <t>Món A bị bỏ khỏi giỏ kèm thông báo "tạm hết tại chi nhánh"</t>
  </si>
  <si>
    <t>ORD-010</t>
  </si>
  <si>
    <t>Đặt vượt tồn kho</t>
  </si>
  <si>
    <t>Món A tồn kho = 2</t>
  </si>
  <si>
    <t>1. Thêm 3 phần món A
2. Đặt hàng</t>
  </si>
  <si>
    <t>Báo "&lt;Tên món&gt; chỉ còn 2 phần, vui lòng giảm số lượng."; không tạo đơn</t>
  </si>
  <si>
    <t>ORD-011</t>
  </si>
  <si>
    <t>Đặt hàng làm giảm tồn kho</t>
  </si>
  <si>
    <t>Món A tồn kho = 10</t>
  </si>
  <si>
    <t>1. Đặt đơn 3 phần món A</t>
  </si>
  <si>
    <t>Tồn kho món A ở chi nhánh còn 7</t>
  </si>
  <si>
    <t>ORD-012</t>
  </si>
  <si>
    <t>Chi nhánh bị đóng sau khi bỏ vào giỏ</t>
  </si>
  <si>
    <t>Giỏ có món chi nhánh A</t>
  </si>
  <si>
    <t>1. Admin tạm đóng chi nhánh A
2. Khách đặt hàng</t>
  </si>
  <si>
    <t>Không tạo đơn, chuyển về chọn chi nhánh với thông báo chi nhánh đã tạm đóng</t>
  </si>
  <si>
    <t>ORD-013</t>
  </si>
  <si>
    <t>Bấm Đặt hàng 2 lần liên tiếp</t>
  </si>
  <si>
    <t>1. Bấm nhanh nút Đặt hàng 2 lần</t>
  </si>
  <si>
    <t>Chỉ tạo 1 đơn hàng</t>
  </si>
  <si>
    <t>ORD-014</t>
  </si>
  <si>
    <t>Xem trang đơn thành công của người khác</t>
  </si>
  <si>
    <t>2 tài khoản A, B</t>
  </si>
  <si>
    <t>1. B đăng nhập
2. Mở /order/&lt;mã đơn của A&gt;</t>
  </si>
  <si>
    <t>Trả về 404</t>
  </si>
  <si>
    <t>ORD-015</t>
  </si>
  <si>
    <t>Checkout với giỏ trống</t>
  </si>
  <si>
    <t>1. Gõ trực tiếp /checkout</t>
  </si>
  <si>
    <t>Chuyển về giỏ hàng với thông báo "Giỏ hàng trống!"</t>
  </si>
  <si>
    <t>ORD-016</t>
  </si>
  <si>
    <t>Mã giảm giá</t>
  </si>
  <si>
    <t>Áp mã giảm theo số tiền hợp lệ</t>
  </si>
  <si>
    <t>Có mã cố định 20.000đ, đơn tối thiểu 100.000đ</t>
  </si>
  <si>
    <t>1. Tạm tính 150.000đ
2. Nhập mã
3. Đặt hàng</t>
  </si>
  <si>
    <t>Mã: GIAM20K</t>
  </si>
  <si>
    <t>Giảm 20.000đ; Tổng = 150.000 + ship - 20.000</t>
  </si>
  <si>
    <t>ORD-017</t>
  </si>
  <si>
    <t>Áp mã % có giảm tối đa</t>
  </si>
  <si>
    <t>Mã 10%, tối đa 30.000đ</t>
  </si>
  <si>
    <t>1. Tạm tính 500.000đ
2. Áp mã</t>
  </si>
  <si>
    <t>Mã: GIAM10</t>
  </si>
  <si>
    <t>Giảm 30.000đ (không phải 50.000đ)</t>
  </si>
  <si>
    <t>ORD-018</t>
  </si>
  <si>
    <t>Mã freeship cho đơn giao tiêu chuẩn</t>
  </si>
  <si>
    <t>Mã giảm 100% phí ship, chỉ áp giao tiêu chuẩn</t>
  </si>
  <si>
    <t>1. Chọn Giao tiêu chuẩn
2. Áp mã</t>
  </si>
  <si>
    <t>Mã freeship</t>
  </si>
  <si>
    <t>Phí ship được giảm về 0</t>
  </si>
  <si>
    <t>ORD-019</t>
  </si>
  <si>
    <t>Mã chỉ cho giao tiêu chuẩn nhưng chọn hỏa tốc</t>
  </si>
  <si>
    <t>Như trên</t>
  </si>
  <si>
    <t>1. Chọn Hỏa tốc
2. Áp mã</t>
  </si>
  <si>
    <t>Báo "Mã này chỉ áp dụng cho đơn giao hàng tiêu chuẩn."</t>
  </si>
  <si>
    <t>ORD-020</t>
  </si>
  <si>
    <t>Chưa đủ giá trị đơn tối thiểu</t>
  </si>
  <si>
    <t>Mã yêu cầu tối thiểu 100.000đ</t>
  </si>
  <si>
    <t>1. Tạm tính 90.000đ
2. Áp mã</t>
  </si>
  <si>
    <t>Báo "Đơn tối thiểu 100.000đ để dùng mã này."</t>
  </si>
  <si>
    <t>ORD-021</t>
  </si>
  <si>
    <t>Mã không tồn tại</t>
  </si>
  <si>
    <t>1. Nhập mã sai</t>
  </si>
  <si>
    <t>SAIMA123</t>
  </si>
  <si>
    <t>Báo "Mã giảm giá không tồn tại hoặc đã ngừng áp dụng."</t>
  </si>
  <si>
    <t>ORD-022</t>
  </si>
  <si>
    <t>Mã đã hết hạn</t>
  </si>
  <si>
    <t>Mã có ngày hết hạn đã qua</t>
  </si>
  <si>
    <t>1. Áp mã</t>
  </si>
  <si>
    <t>Báo "Mã đã hết hạn."</t>
  </si>
  <si>
    <t>ORD-023</t>
  </si>
  <si>
    <t>Mã chưa đến ngày bắt đầu</t>
  </si>
  <si>
    <t>Mã bắt đầu từ ngày mai</t>
  </si>
  <si>
    <t>Báo "Mã chưa đến ngày sử dụng."</t>
  </si>
  <si>
    <t>ORD-024</t>
  </si>
  <si>
    <t>Mã hết tổng lượt dùng</t>
  </si>
  <si>
    <t>Mã có max_uses = số lần đã dùng</t>
  </si>
  <si>
    <t>Báo "Mã đã hết lượt sử dụng."</t>
  </si>
  <si>
    <t>ORD-025</t>
  </si>
  <si>
    <t>Mã hết lượt dùng của khách</t>
  </si>
  <si>
    <t>Mã 1 lượt/khách, khách đã dùng</t>
  </si>
  <si>
    <t>1. Áp lại mã</t>
  </si>
  <si>
    <t>Báo "Bạn đã dùng hết lượt của mã này."</t>
  </si>
  <si>
    <t>ORD-026</t>
  </si>
  <si>
    <t>Hủy đơn trả lại lượt dùng mã</t>
  </si>
  <si>
    <t>Đơn đã dùng mã, đang Chờ xác nhận</t>
  </si>
  <si>
    <t>1. Hủy đơn
2. Đặt đơn mới với cùng mã</t>
  </si>
  <si>
    <t>Mã dùng lại được (lượt đã được trả)</t>
  </si>
  <si>
    <t>ORD-027</t>
  </si>
  <si>
    <t>Trang mã giảm giá công khai</t>
  </si>
  <si>
    <t>1. Vào /coupons</t>
  </si>
  <si>
    <t>Chỉ hiện mã đang hoạt động, công khai, còn lượt; sắp xếp theo hạn dùng</t>
  </si>
  <si>
    <t>ACC-001</t>
  </si>
  <si>
    <t>Tài khoản khách</t>
  </si>
  <si>
    <t>Hồ sơ &amp; địa chỉ</t>
  </si>
  <si>
    <t>Cập nhật thông tin cá nhân</t>
  </si>
  <si>
    <t>1. Vào /profile
2. Sửa tên, SĐT
3. Lưu</t>
  </si>
  <si>
    <t>Tên mới</t>
  </si>
  <si>
    <t>Lưu thành công, header đổi tên</t>
  </si>
  <si>
    <t>ACC-002</t>
  </si>
  <si>
    <t>Đổi mật khẩu đúng mật khẩu cũ</t>
  </si>
  <si>
    <t>1. Nhập MK cũ đúng, MK mới
2. Lưu</t>
  </si>
  <si>
    <t>Đổi thành công; đăng nhập lại bằng MK mới được</t>
  </si>
  <si>
    <t>ACC-003</t>
  </si>
  <si>
    <t>Đổi mật khẩu sai mật khẩu cũ</t>
  </si>
  <si>
    <t>1. Nhập MK cũ sai
2. Lưu</t>
  </si>
  <si>
    <t>Báo lỗi mật khẩu hiện tại không đúng</t>
  </si>
  <si>
    <t>ACC-004</t>
  </si>
  <si>
    <t>Xóa tài khoản</t>
  </si>
  <si>
    <t>1. Bấm Xóa tài khoản
2. Xác nhận</t>
  </si>
  <si>
    <t>Tài khoản bị xóa, đăng xuất, không đăng nhập lại được</t>
  </si>
  <si>
    <t>ACC-005</t>
  </si>
  <si>
    <t>Thêm địa chỉ giao hàng</t>
  </si>
  <si>
    <t>1. Vào /addresses
2. Thêm địa chỉ</t>
  </si>
  <si>
    <t>Tên, SĐT, địa chỉ, ghi chú</t>
  </si>
  <si>
    <t>Địa chỉ xuất hiện trong danh sách và ở checkout</t>
  </si>
  <si>
    <t>ACC-006</t>
  </si>
  <si>
    <t>Sửa / xóa địa chỉ</t>
  </si>
  <si>
    <t>Có địa chỉ</t>
  </si>
  <si>
    <t>1. Sửa địa chỉ
2. Xóa 1 địa chỉ</t>
  </si>
  <si>
    <t>Cập nhật đúng; địa chỉ bị xóa biến mất</t>
  </si>
  <si>
    <t>ACC-007</t>
  </si>
  <si>
    <t>Đặt địa chỉ mặc định</t>
  </si>
  <si>
    <t>Có ≥ 2 địa chỉ</t>
  </si>
  <si>
    <t>1. Bấm Đặt mặc định ở địa chỉ 2</t>
  </si>
  <si>
    <t>Địa chỉ 2 thành mặc định, checkout tự chọn địa chỉ này</t>
  </si>
  <si>
    <t>ACC-008</t>
  </si>
  <si>
    <t>Sửa địa chỉ của người khác</t>
  </si>
  <si>
    <t>1. B gửi PUT /addresses/&lt;id địa chỉ của A&gt;</t>
  </si>
  <si>
    <t>Trả về 403/404, không sửa được</t>
  </si>
  <si>
    <t>ACC-009</t>
  </si>
  <si>
    <t>Đơn cũ giữ địa chỉ khi sửa sổ địa chỉ</t>
  </si>
  <si>
    <t>Đã có đơn giao hàng</t>
  </si>
  <si>
    <t>1. Sửa/xóa địa chỉ đã dùng
2. Xem lại đơn cũ</t>
  </si>
  <si>
    <t>Đơn cũ vẫn hiện địa chỉ lúc đặt</t>
  </si>
  <si>
    <t>ACC-010</t>
  </si>
  <si>
    <t>Đơn hàng của tôi</t>
  </si>
  <si>
    <t>Xem danh sách đơn</t>
  </si>
  <si>
    <t>Có đơn</t>
  </si>
  <si>
    <t>1. Vào /orders</t>
  </si>
  <si>
    <t>Hiện đơn của chính mình, mới nhất trước, đúng trạng thái</t>
  </si>
  <si>
    <t>ACC-011</t>
  </si>
  <si>
    <t>Xem chi tiết đơn của người khác</t>
  </si>
  <si>
    <t>1. B mở /orders/&lt;id đơn của A&gt;</t>
  </si>
  <si>
    <t>Trả về 403/404</t>
  </si>
  <si>
    <t>ACC-012</t>
  </si>
  <si>
    <t>Hủy đơn Chờ xác nhận + chưa thanh toán</t>
  </si>
  <si>
    <t>Đơn pending, unpaid</t>
  </si>
  <si>
    <t>1. Bấm Hủy đơn
2. Chọn lý do
3. Xác nhận</t>
  </si>
  <si>
    <t>Lý do: Đặt trùng đơn</t>
  </si>
  <si>
    <t>Đơn chuyển Đã hủy, lý do lưu trong lịch sử đơn, tồn kho được hoàn lại</t>
  </si>
  <si>
    <t>ACC-013</t>
  </si>
  <si>
    <t>Hủy với lý do khác nhưng không nhập chi tiết</t>
  </si>
  <si>
    <t>Đơn pending</t>
  </si>
  <si>
    <t>1. Chọn "Lý do khác"
2. Để trống chi tiết</t>
  </si>
  <si>
    <t>Báo lỗi bắt buộc nhập chi tiết</t>
  </si>
  <si>
    <t>ACC-014</t>
  </si>
  <si>
    <t>Lý do khác chi tiết dưới 5 ký tự</t>
  </si>
  <si>
    <t>1. Chọn "Lý do khác"
2. Nhập 4 ký tự</t>
  </si>
  <si>
    <t>"abcd"</t>
  </si>
  <si>
    <t>Báo lỗi tối thiểu 5 ký tự</t>
  </si>
  <si>
    <t>ACC-015</t>
  </si>
  <si>
    <t>Không hủy được đơn đã xác nhận</t>
  </si>
  <si>
    <t>Đơn confirmed</t>
  </si>
  <si>
    <t>1. Mở /orders/&lt;id&gt;/cancel</t>
  </si>
  <si>
    <t>Báo "Đơn không còn đủ điều kiện tự hủy..."</t>
  </si>
  <si>
    <t>ACC-016</t>
  </si>
  <si>
    <t>Không hủy được đơn đã thanh toán</t>
  </si>
  <si>
    <t>Đơn pending nhưng paid</t>
  </si>
  <si>
    <t>1. Mở trang hủy đơn</t>
  </si>
  <si>
    <t>Không cho hủy</t>
  </si>
  <si>
    <t>ACC-017</t>
  </si>
  <si>
    <t>Đặt lại đơn cũ</t>
  </si>
  <si>
    <t>Có đơn hoàn thành</t>
  </si>
  <si>
    <t>1. Bấm Đặt lại
2. Xem trước
3. Xác nhận</t>
  </si>
  <si>
    <t>Món trong đơn cũ được thêm vào giỏ theo giá hiện tại; món hết thì báo</t>
  </si>
  <si>
    <t>ACC-018</t>
  </si>
  <si>
    <t>Đánh giá đơn hoàn thành</t>
  </si>
  <si>
    <t>Đơn completed</t>
  </si>
  <si>
    <t>1. Bấm Đánh giá
2. Chọn sao + nhận xét
3. Gửi</t>
  </si>
  <si>
    <t>5 sao</t>
  </si>
  <si>
    <t>Lưu đánh giá, manager thấy trong trang Đánh giá</t>
  </si>
  <si>
    <t>ACC-019</t>
  </si>
  <si>
    <t>Đánh giá đơn chưa hoàn thành</t>
  </si>
  <si>
    <t>1. Mở /orders/&lt;id&gt;/review</t>
  </si>
  <si>
    <t>Không cho đánh giá</t>
  </si>
  <si>
    <t>ACC-020</t>
  </si>
  <si>
    <t>Thông báo đơn hàng</t>
  </si>
  <si>
    <t>Đơn đổi trạng thái</t>
  </si>
  <si>
    <t>1. Manager đổi trạng thái
2. Khách mở chuông thông báo</t>
  </si>
  <si>
    <t>Có thông báo mới; bấm vào đánh dấu đã đọc và mở đơn; Đọc tất cả / Xóa đã đọc hoạt động</t>
  </si>
  <si>
    <t>ACC-021</t>
  </si>
  <si>
    <t>Chatbot &amp; liên hệ</t>
  </si>
  <si>
    <t>Chatbot trả lời theo từ khóa</t>
  </si>
  <si>
    <t>Đăng nhập customer, admin đã tạo từ khóa</t>
  </si>
  <si>
    <t>1. Mở chatbot
2. Gõ câu có từ khóa</t>
  </si>
  <si>
    <t>VD: giờ mở cửa</t>
  </si>
  <si>
    <t>Bot trả lời đúng nội dung cấu hình</t>
  </si>
  <si>
    <t>ACC-022</t>
  </si>
  <si>
    <t>Chatbot giới hạn 10 tin/phút</t>
  </si>
  <si>
    <t>1. Gửi 11 tin trong 1 phút</t>
  </si>
  <si>
    <t>Tin thứ 11 bị từ chối (429) với thông báo chờ</t>
  </si>
  <si>
    <t>ACC-023</t>
  </si>
  <si>
    <t>Gửi form liên hệ</t>
  </si>
  <si>
    <t>1. Điền form liên hệ
2. Gửi</t>
  </si>
  <si>
    <t>Báo gửi thành công; admin thấy tin nhắn</t>
  </si>
  <si>
    <t>ACC-024</t>
  </si>
  <si>
    <t>Gửi liên hệ quá 5 lần/phút</t>
  </si>
  <si>
    <t>1. Gửi form 6 lần liên tục</t>
  </si>
  <si>
    <t>Lần thứ 6 bị chặn (429)</t>
  </si>
  <si>
    <t>MGR-001</t>
  </si>
  <si>
    <t>Manager</t>
  </si>
  <si>
    <t>Đơn hàng</t>
  </si>
  <si>
    <t>Chỉ thấy đơn của chi nhánh mình</t>
  </si>
  <si>
    <t>Manager chi nhánh A; có đơn ở A và B</t>
  </si>
  <si>
    <t>1. Vào /manager/orders</t>
  </si>
  <si>
    <t>Chỉ hiện đơn của chi nhánh A</t>
  </si>
  <si>
    <t>MGR-002</t>
  </si>
  <si>
    <t>Mở đơn của chi nhánh khác</t>
  </si>
  <si>
    <t>Manager A</t>
  </si>
  <si>
    <t>1. Gõ /manager/orders/&lt;id đơn chi nhánh B&gt;</t>
  </si>
  <si>
    <t>MGR-003</t>
  </si>
  <si>
    <t>Luồng trạng thái chuẩn</t>
  </si>
  <si>
    <t>1. Xác nhận → Đang nấu → Sẵn sàng → Hoàn thành</t>
  </si>
  <si>
    <t>Mỗi bước đổi đúng trạng thái, có ghi lịch sử người đổi + thời gian</t>
  </si>
  <si>
    <t>MGR-004</t>
  </si>
  <si>
    <t>Không cho nhảy cóc trạng thái</t>
  </si>
  <si>
    <t>1. Cố chuyển thẳng sang Hoàn thành (sửa request)</t>
  </si>
  <si>
    <t>Bị từ chối, trạng thái giữ nguyên</t>
  </si>
  <si>
    <t>MGR-005</t>
  </si>
  <si>
    <t>Không hủy được đơn đang nấu</t>
  </si>
  <si>
    <t>Đơn cooking</t>
  </si>
  <si>
    <t>1. Cố chuyển sang Đã hủy</t>
  </si>
  <si>
    <t>Bị từ chối (chỉ hủy được khi Chờ xác nhận/Đã xác nhận)</t>
  </si>
  <si>
    <t>MGR-006</t>
  </si>
  <si>
    <t>Hủy đơn hoàn tồn kho</t>
  </si>
  <si>
    <t>Đơn confirmed, món A tồn 7 sau khi đặt 3</t>
  </si>
  <si>
    <t>1. Hủy đơn</t>
  </si>
  <si>
    <t>Tồn kho món A về lại 10</t>
  </si>
  <si>
    <t>MGR-007</t>
  </si>
  <si>
    <t>Đánh dấu đã thanh toán</t>
  </si>
  <si>
    <t>Đơn unpaid</t>
  </si>
  <si>
    <t>1. Bấm Đã thanh toán</t>
  </si>
  <si>
    <t>payment_status = paid, hiển thị nhãn đã thanh toán</t>
  </si>
  <si>
    <t>MGR-008</t>
  </si>
  <si>
    <t>Lọc / tìm đơn</t>
  </si>
  <si>
    <t>Có nhiều đơn</t>
  </si>
  <si>
    <t>1. Lọc theo trạng thái, ngày, tìm mã đơn</t>
  </si>
  <si>
    <t>Kết quả đúng bộ lọc</t>
  </si>
  <si>
    <t>MGR-009</t>
  </si>
  <si>
    <t>Xuất Excel đơn hàng</t>
  </si>
  <si>
    <t>1. Bấm Xuất Excel</t>
  </si>
  <si>
    <t>Tải file .xlsx đúng dữ liệu theo bộ lọc, chỉ đơn của chi nhánh mình</t>
  </si>
  <si>
    <t>MGR-010</t>
  </si>
  <si>
    <t>2 manager đổi trạng thái cùng lúc</t>
  </si>
  <si>
    <t>2 tab cùng mở 1 đơn pending</t>
  </si>
  <si>
    <t>1. Tab 1 bấm Xác nhận
2. Tab 2 bấm Hủy</t>
  </si>
  <si>
    <t>Chỉ 1 thao tác hợp lệ được ghi, thao tác còn lại báo lỗi trạng thái không hợp lệ</t>
  </si>
  <si>
    <t>MGR-011</t>
  </si>
  <si>
    <t>Thực đơn chi nhánh</t>
  </si>
  <si>
    <t>Sửa giá món theo chi nhánh</t>
  </si>
  <si>
    <t>1. Vào /manager/menu
2. Sửa giá món A
3. Lưu</t>
  </si>
  <si>
    <t>Giá: 45000</t>
  </si>
  <si>
    <t>Khách ở chi nhánh này thấy giá 45.000đ; chi nhánh khác không đổi</t>
  </si>
  <si>
    <t>MGR-012</t>
  </si>
  <si>
    <t>Giá dưới 1.000đ</t>
  </si>
  <si>
    <t>1. Nhập giá 999
2. Lưu</t>
  </si>
  <si>
    <t>999</t>
  </si>
  <si>
    <t>Báo lỗi giá tối thiểu 1.000đ</t>
  </si>
  <si>
    <t>MGR-013</t>
  </si>
  <si>
    <t>Tắt bán món</t>
  </si>
  <si>
    <t>1. Tắt Đang bán ở món A
2. Lưu</t>
  </si>
  <si>
    <t>Khách không thêm được món A vào giỏ</t>
  </si>
  <si>
    <t>MGR-014</t>
  </si>
  <si>
    <t>Đặt tồn kho</t>
  </si>
  <si>
    <t>1. Nhập tồn kho 0 / để trống</t>
  </si>
  <si>
    <t>0 / trống</t>
  </si>
  <si>
    <t>0 = hết hàng; trống = không giới hạn</t>
  </si>
  <si>
    <t>MGR-015</t>
  </si>
  <si>
    <t>Chọn món đề xuất của bếp</t>
  </si>
  <si>
    <t>1. Chọn tối đa 10 món đề xuất
2. Lưu</t>
  </si>
  <si>
    <t>11 món</t>
  </si>
  <si>
    <t>Chọn 11 món bị từ chối; ≤ 10 món lưu thành công và hiện ở trang chủ</t>
  </si>
  <si>
    <t>MGR-016</t>
  </si>
  <si>
    <t>Nhân viên</t>
  </si>
  <si>
    <t>Tạo tài khoản nhân viên</t>
  </si>
  <si>
    <t>1. Vào Nhân viên → Thêm
2. Nhập đủ thông tin
3. Lưu</t>
  </si>
  <si>
    <t>Vai trò: staff; Ngày bắt đầu: hôm nay; Lương thử việc: 22000; Lương chính: 25000; MK: 12345678</t>
  </si>
  <si>
    <t>Tạo nhân viên thuộc chi nhánh của manager; đăng nhập được</t>
  </si>
  <si>
    <t>MGR-017</t>
  </si>
  <si>
    <t>Mật khẩu nhân viên dưới 8 ký tự</t>
  </si>
  <si>
    <t>1. Nhập MK 7 ký tự</t>
  </si>
  <si>
    <t>1234567</t>
  </si>
  <si>
    <t>Báo lỗi tối thiểu 8 ký tự</t>
  </si>
  <si>
    <t>MGR-018</t>
  </si>
  <si>
    <t>Email nhân viên trùng</t>
  </si>
  <si>
    <t>Email đã tồn tại</t>
  </si>
  <si>
    <t>1. Tạo nhân viên với email trùng</t>
  </si>
  <si>
    <t>Báo "Email này đã có người sử dụng."</t>
  </si>
  <si>
    <t>MGR-019</t>
  </si>
  <si>
    <t>Ngày bắt đầu quá 30 ngày tới</t>
  </si>
  <si>
    <t>1. Nhập ngày bắt đầu = hôm nay + 31</t>
  </si>
  <si>
    <t>Báo lỗi ngày không hợp lệ</t>
  </si>
  <si>
    <t>MGR-020</t>
  </si>
  <si>
    <t>Khóa / mở khóa nhân viên</t>
  </si>
  <si>
    <t>Có nhân viên</t>
  </si>
  <si>
    <t>1. Bấm Khóa
2. Nhân viên thử đăng nhập
3. Mở khóa</t>
  </si>
  <si>
    <t>Khi khóa không đăng nhập được; mở khóa đăng nhập lại được</t>
  </si>
  <si>
    <t>MGR-021</t>
  </si>
  <si>
    <t>Đặt lại mật khẩu nhân viên</t>
  </si>
  <si>
    <t>1. Bấm Đặt lại MK
2. Nhập MK mới</t>
  </si>
  <si>
    <t>Nhân viên đăng nhập được bằng MK mới</t>
  </si>
  <si>
    <t>MGR-022</t>
  </si>
  <si>
    <t>Sửa nhân viên chi nhánh khác</t>
  </si>
  <si>
    <t>1. Gõ /manager/staff/&lt;id nhân viên chi nhánh B&gt;/edit</t>
  </si>
  <si>
    <t>MGR-023</t>
  </si>
  <si>
    <t>Ca làm &amp; lịch</t>
  </si>
  <si>
    <t>Tạo ca làm</t>
  </si>
  <si>
    <t>1. Vào Ca làm
2. Thêm ca</t>
  </si>
  <si>
    <t>Tên: Ca sáng; 07:00 - 12:00</t>
  </si>
  <si>
    <t>Ca xuất hiện trong danh sách</t>
  </si>
  <si>
    <t>MGR-024</t>
  </si>
  <si>
    <t>Giờ bắt đầu = giờ kết thúc</t>
  </si>
  <si>
    <t>1. Nhập 08:00 - 08:00</t>
  </si>
  <si>
    <t>Báo lỗi giờ kết thúc phải khác giờ bắt đầu</t>
  </si>
  <si>
    <t>MGR-025</t>
  </si>
  <si>
    <t>Ca qua đêm</t>
  </si>
  <si>
    <t>1. Tạo ca 22:00 - 06:00</t>
  </si>
  <si>
    <t>Lưu được và chấm công qua nửa đêm tính đúng ca</t>
  </si>
  <si>
    <t>MGR-026</t>
  </si>
  <si>
    <t>Sửa / xóa ca</t>
  </si>
  <si>
    <t>Có ca</t>
  </si>
  <si>
    <t>1. Sửa giờ ca
2. Xóa ca</t>
  </si>
  <si>
    <t>Cập nhật đúng; ca bị xóa biến mất</t>
  </si>
  <si>
    <t>MGR-027</t>
  </si>
  <si>
    <t>Xếp lịch làm cho nhân viên</t>
  </si>
  <si>
    <t>Có ca và nhân viên</t>
  </si>
  <si>
    <t>1. Vào lịch làm
2. Gán nhân viên vào ca theo ngày
3. Lưu</t>
  </si>
  <si>
    <t>Lịch lưu đúng; nhân viên thấy lịch ở /staff</t>
  </si>
  <si>
    <t>MGR-028</t>
  </si>
  <si>
    <t>Xuất Excel lịch làm</t>
  </si>
  <si>
    <t>Có lịch</t>
  </si>
  <si>
    <t>1. Bấm Xuất lịch</t>
  </si>
  <si>
    <t>Tải file .xlsx đúng tuần/tháng đang xem</t>
  </si>
  <si>
    <t>MGR-029</t>
  </si>
  <si>
    <t>Chấm công &amp; kiosk</t>
  </si>
  <si>
    <t>Đăng ký khuôn mặt bằng camera</t>
  </si>
  <si>
    <t>Có nhân viên, máy có webcam</t>
  </si>
  <si>
    <t>1. Vào Nhân viên → Khuôn mặt
2. Cho phép camera
3. Chụp đủ mẫu</t>
  </si>
  <si>
    <t>15 mẫu</t>
  </si>
  <si>
    <t>Lưu khuôn mặt thành công; không lưu ảnh đăng ký</t>
  </si>
  <si>
    <t>MGR-030</t>
  </si>
  <si>
    <t>Đăng ký bằng ảnh tải lên ít hơn 3 ảnh hợp lệ</t>
  </si>
  <si>
    <t>1. Tải lên 2 ảnh có mặt</t>
  </si>
  <si>
    <t>2 ảnh</t>
  </si>
  <si>
    <t>Báo lỗi cần tối thiểu 3 ảnh hợp lệ</t>
  </si>
  <si>
    <t>MGR-031</t>
  </si>
  <si>
    <t>Đăng ký mặt giống nhân viên khác</t>
  </si>
  <si>
    <t>Đã đăng ký mặt người A</t>
  </si>
  <si>
    <t>1. Đăng ký mặt người A cho nhân viên B</t>
  </si>
  <si>
    <t>Báo khuôn mặt giống nhân viên A, từ chối</t>
  </si>
  <si>
    <t>MGR-032</t>
  </si>
  <si>
    <t>Xóa khuôn mặt</t>
  </si>
  <si>
    <t>Nhân viên đã đăng ký mặt</t>
  </si>
  <si>
    <t>1. Bấm Xóa khuôn mặt</t>
  </si>
  <si>
    <t>Xóa thành công; kiosk không còn nhận diện người này</t>
  </si>
  <si>
    <t>MGR-033</t>
  </si>
  <si>
    <t>Tạo thiết bị kiosk</t>
  </si>
  <si>
    <t>1. Vào Kiosk → Thêm thiết bị</t>
  </si>
  <si>
    <t>Tên: Quầy 1</t>
  </si>
  <si>
    <t>Sinh token kiosk; mở /kiosk nhập token dùng được</t>
  </si>
  <si>
    <t>MGR-034</t>
  </si>
  <si>
    <t>Thu hồi thiết bị kiosk</t>
  </si>
  <si>
    <t>Có kiosk đang dùng</t>
  </si>
  <si>
    <t>1. Bấm Thu hồi
2. Thử chấm công trên kiosk đó</t>
  </si>
  <si>
    <t>Kiosk báo token không hợp lệ, không chấm được</t>
  </si>
  <si>
    <t>MGR-035</t>
  </si>
  <si>
    <t>Chấm công thủ công</t>
  </si>
  <si>
    <t>Nhân viên quên chấm</t>
  </si>
  <si>
    <t>1. Vào Chấm công → Thêm
2. Chọn nhân viên, giờ vào</t>
  </si>
  <si>
    <t>Tạo lượt chấm công thủ công</t>
  </si>
  <si>
    <t>MGR-036</t>
  </si>
  <si>
    <t>Chấm ra hộ nhân viên quên</t>
  </si>
  <si>
    <t>Lượt chưa chấm ra</t>
  </si>
  <si>
    <t>1. Bấm Chấm ra</t>
  </si>
  <si>
    <t>Lượt có giờ ra, tính giờ công đúng</t>
  </si>
  <si>
    <t>MGR-037</t>
  </si>
  <si>
    <t>Xem ảnh bằng chứng</t>
  </si>
  <si>
    <t>Có lượt chấm bằng khuôn mặt</t>
  </si>
  <si>
    <t>1. Bấm xem ảnh vào/ra</t>
  </si>
  <si>
    <t>Hiện ảnh đúng tỉ lệ, không méo; độ tương đồng &lt; 70% tô cam</t>
  </si>
  <si>
    <t>MGR-038</t>
  </si>
  <si>
    <t>Xuất Excel chấm công</t>
  </si>
  <si>
    <t>Có dữ liệu</t>
  </si>
  <si>
    <t>Tải file .xlsx đúng tháng, chỉ nhân viên chi nhánh mình</t>
  </si>
  <si>
    <t>MGR-039</t>
  </si>
  <si>
    <t>Lương</t>
  </si>
  <si>
    <t>Tính lương tháng</t>
  </si>
  <si>
    <t>Có chấm công đủ giờ vào/ra</t>
  </si>
  <si>
    <t>1. Vào Lương
2. Chọn tháng
3. Bấm Tính lại</t>
  </si>
  <si>
    <t>NV làm 8h × 25.000đ</t>
  </si>
  <si>
    <t>Lương cơ bản = tổng giờ × lương/giờ (200.000đ); số ngày công đúng</t>
  </si>
  <si>
    <t>MGR-040</t>
  </si>
  <si>
    <t>Nhân viên đang thử việc dùng mức thử việc</t>
  </si>
  <si>
    <t>NV trong thời gian thử việc</t>
  </si>
  <si>
    <t>1. Tính lương</t>
  </si>
  <si>
    <t>Thử việc 22.000đ/h</t>
  </si>
  <si>
    <t>Lương tính theo 22.000đ/h</t>
  </si>
  <si>
    <t>MGR-041</t>
  </si>
  <si>
    <t>Lượt chưa chấm ra không tính lương</t>
  </si>
  <si>
    <t>Có lượt chưa chấm ra</t>
  </si>
  <si>
    <t>Lượt đó không được cộng giờ</t>
  </si>
  <si>
    <t>MGR-042</t>
  </si>
  <si>
    <t>Thêm thưởng / phạt</t>
  </si>
  <si>
    <t>Có bảng lương nháp</t>
  </si>
  <si>
    <t>1. Thêm thưởng 100.000đ, phạt 50.000đ</t>
  </si>
  <si>
    <t>Tổng = cơ bản + 100.000 - 50.000</t>
  </si>
  <si>
    <t>MGR-043</t>
  </si>
  <si>
    <t>Phạt lớn hơn lương</t>
  </si>
  <si>
    <t>Bảng lương nháp</t>
  </si>
  <si>
    <t>1. Thêm phạt lớn hơn cơ bản + thưởng</t>
  </si>
  <si>
    <t>Tổng lương = 0 (không âm)</t>
  </si>
  <si>
    <t>MGR-044</t>
  </si>
  <si>
    <t>Tính lại giữ thưởng/phạt đã nhập</t>
  </si>
  <si>
    <t>Đã nhập thưởng/phạt</t>
  </si>
  <si>
    <t>1. Bấm Tính lại</t>
  </si>
  <si>
    <t>Thưởng/phạt vẫn còn</t>
  </si>
  <si>
    <t>MGR-045</t>
  </si>
  <si>
    <t>Xác nhận và trả lương</t>
  </si>
  <si>
    <t>1. Bấm Xác nhận
2. Bấm Đã trả</t>
  </si>
  <si>
    <t>Trạng thái Nháp → Đã xác nhận → Đã trả; sau xác nhận Tính lại không ghi đè</t>
  </si>
  <si>
    <t>MGR-046</t>
  </si>
  <si>
    <t>Xuất Excel bảng lương</t>
  </si>
  <si>
    <t>Có bảng lương</t>
  </si>
  <si>
    <t>File .xlsx đúng số liệu trên màn hình</t>
  </si>
  <si>
    <t>MGR-047</t>
  </si>
  <si>
    <t>Báo cáo &amp; đánh giá</t>
  </si>
  <si>
    <t>Dashboard chi nhánh</t>
  </si>
  <si>
    <t>1. Vào /manager</t>
  </si>
  <si>
    <t>Số liệu doanh thu, số đơn hôm nay khớp dữ liệu thật của chi nhánh</t>
  </si>
  <si>
    <t>MGR-048</t>
  </si>
  <si>
    <t>Báo cáo doanh thu theo khoảng ngày</t>
  </si>
  <si>
    <t>1. Vào Báo cáo
2. Chọn khoảng ngày</t>
  </si>
  <si>
    <t>Doanh thu chỉ tính đơn hoàn thành, khớp tổng tay</t>
  </si>
  <si>
    <t>MGR-049</t>
  </si>
  <si>
    <t>Xuất Excel báo cáo</t>
  </si>
  <si>
    <t>File có sheet tóm tắt, bảng và biểu đồ</t>
  </si>
  <si>
    <t>MGR-050</t>
  </si>
  <si>
    <t>Trả lời đánh giá</t>
  </si>
  <si>
    <t>Có đánh giá của khách</t>
  </si>
  <si>
    <t>1. Vào Đánh giá
2. Nhập trả lời
3. Lưu</t>
  </si>
  <si>
    <t>Câu trả lời hiển thị dưới đánh giá</t>
  </si>
  <si>
    <t>ADM-001</t>
  </si>
  <si>
    <t>Admin</t>
  </si>
  <si>
    <t>Chi nhánh &amp; manager</t>
  </si>
  <si>
    <t>Tạo chi nhánh</t>
  </si>
  <si>
    <t>Đăng nhập admin</t>
  </si>
  <si>
    <t>1. Vào Chi nhánh → Thêm
2. Nhập thông tin
3. Lưu</t>
  </si>
  <si>
    <t>Tên, địa chỉ, SĐT</t>
  </si>
  <si>
    <t>Chi nhánh xuất hiện ở trang chọn chi nhánh của khách</t>
  </si>
  <si>
    <t>ADM-002</t>
  </si>
  <si>
    <t>Tạm đóng / mở chi nhánh</t>
  </si>
  <si>
    <t>Có chi nhánh</t>
  </si>
  <si>
    <t>1. Bấm Tạm đóng</t>
  </si>
  <si>
    <t>Khách không chọn được chi nhánh đó; mở lại thì hiện lại</t>
  </si>
  <si>
    <t>ADM-003</t>
  </si>
  <si>
    <t>Tạo tài khoản manager gán chi nhánh</t>
  </si>
  <si>
    <t>1. Vào Manager → Thêm
2. Chọn chi nhánh
3. Lưu</t>
  </si>
  <si>
    <t>Manager đăng nhập chỉ thấy dữ liệu chi nhánh được gán</t>
  </si>
  <si>
    <t>ADM-004</t>
  </si>
  <si>
    <t>Khóa / đặt lại MK manager</t>
  </si>
  <si>
    <t>Có manager</t>
  </si>
  <si>
    <t>1. Khóa
2. Đặt lại MK</t>
  </si>
  <si>
    <t>Khóa thì không đăng nhập được; MK mới dùng được</t>
  </si>
  <si>
    <t>ADM-005</t>
  </si>
  <si>
    <t>Danh mục &amp; món</t>
  </si>
  <si>
    <t>Tạo danh mục có ảnh</t>
  </si>
  <si>
    <t>1. Thêm danh mục
2. Tải ảnh
3. Lưu</t>
  </si>
  <si>
    <t>Ảnh .jpg &lt; 2MB</t>
  </si>
  <si>
    <t>Danh mục hiện ở trang chủ với ảnh</t>
  </si>
  <si>
    <t>ADM-006</t>
  </si>
  <si>
    <t>Tải file không phải ảnh</t>
  </si>
  <si>
    <t>1. Tải file .pdf/.exe làm ảnh</t>
  </si>
  <si>
    <t>file.pdf</t>
  </si>
  <si>
    <t>Báo lỗi định dạng ảnh không hợp lệ</t>
  </si>
  <si>
    <t>ADM-007</t>
  </si>
  <si>
    <t>Ẩn danh mục</t>
  </si>
  <si>
    <t>Có danh mục</t>
  </si>
  <si>
    <t>1. Bấm Ẩn</t>
  </si>
  <si>
    <t>Danh mục và món của nó không hiện với khách</t>
  </si>
  <si>
    <t>ADM-008</t>
  </si>
  <si>
    <t>Tạo món ăn</t>
  </si>
  <si>
    <t>1. Thêm món
2. Nhập tên, giá, danh mục, topping
3. Lưu</t>
  </si>
  <si>
    <t>Món xuất hiện ở thực đơn mọi chi nhánh</t>
  </si>
  <si>
    <t>ADM-009</t>
  </si>
  <si>
    <t>Quản lý nhiều ảnh món</t>
  </si>
  <si>
    <t>Có món</t>
  </si>
  <si>
    <t>1. Tải thêm ảnh
2. Đặt ảnh chính
3. Xóa 1 ảnh</t>
  </si>
  <si>
    <t>Ảnh chính hiển thị ở thực đơn; ảnh xóa biến mất</t>
  </si>
  <si>
    <t>ADM-010</t>
  </si>
  <si>
    <t>Xóa ảnh của món khác qua URL</t>
  </si>
  <si>
    <t>2 món A, B</t>
  </si>
  <si>
    <t>1. Gửi DELETE /admin/menu-items/&lt;A&gt;/images/&lt;ảnh của B&gt;</t>
  </si>
  <si>
    <t>ADM-011</t>
  </si>
  <si>
    <t>Mã giảm giá &amp; banner</t>
  </si>
  <si>
    <t>Tạo mã giảm giá hợp lệ</t>
  </si>
  <si>
    <t>1. Thêm mã
2. Nhập thông tin
3. Lưu</t>
  </si>
  <si>
    <t>Mã: SALE2026; % = 10; tối đa 30000; tối thiểu 100000; tổng lượt 100; mỗi khách 1</t>
  </si>
  <si>
    <t>Tạo thành công</t>
  </si>
  <si>
    <t>ADM-012</t>
  </si>
  <si>
    <t>Mã có chữ thường / ký tự đặc biệt</t>
  </si>
  <si>
    <t>1. Nhập mã sai định dạng</t>
  </si>
  <si>
    <t>sale-2026</t>
  </si>
  <si>
    <t>Báo lỗi: chỉ chữ IN HOA và số, 4–20 ký tự</t>
  </si>
  <si>
    <t>ADM-013</t>
  </si>
  <si>
    <t>Mã dưới 4 ký tự</t>
  </si>
  <si>
    <t>1. Nhập mã 3 ký tự</t>
  </si>
  <si>
    <t>ABC</t>
  </si>
  <si>
    <t>Báo lỗi độ dài</t>
  </si>
  <si>
    <t>ADM-014</t>
  </si>
  <si>
    <t>Giảm % lớn hơn 100</t>
  </si>
  <si>
    <t>1. Loại %, giá trị 101</t>
  </si>
  <si>
    <t>101</t>
  </si>
  <si>
    <t>Báo lỗi tối đa 100</t>
  </si>
  <si>
    <t>ADM-015</t>
  </si>
  <si>
    <t>Mã trùng</t>
  </si>
  <si>
    <t>Mã SALE2026 đã có</t>
  </si>
  <si>
    <t>1. Tạo lại mã SALE2026</t>
  </si>
  <si>
    <t>Báo "Mã này đã tồn tại."</t>
  </si>
  <si>
    <t>ADM-016</t>
  </si>
  <si>
    <t>Gửi mã cho khách</t>
  </si>
  <si>
    <t>Có mã và khách</t>
  </si>
  <si>
    <t>1. Bấm Gửi mã
2. Chọn khách
3. Gửi</t>
  </si>
  <si>
    <t>Khách nhận thông báo/email có mã; link hủy đăng ký email hoạt động</t>
  </si>
  <si>
    <t>ADM-017</t>
  </si>
  <si>
    <t>Tạo / sửa / xóa banner</t>
  </si>
  <si>
    <t>1. Thêm banner có ảnh
2. Sửa
3. Xóa</t>
  </si>
  <si>
    <t>Banner hiện/đổi/biến mất ở trang chủ</t>
  </si>
  <si>
    <t>ADM-018</t>
  </si>
  <si>
    <t>Khách hàng &amp; hệ thống</t>
  </si>
  <si>
    <t>Xem danh sách khách và chi tiết</t>
  </si>
  <si>
    <t>Có khách</t>
  </si>
  <si>
    <t>1. Vào Khách hàng
2. Bấm 1 khách</t>
  </si>
  <si>
    <t>Hiện thông tin và lịch sử đơn của khách</t>
  </si>
  <si>
    <t>ADM-019</t>
  </si>
  <si>
    <t>Khóa khách hàng</t>
  </si>
  <si>
    <t>1. Bấm Khóa</t>
  </si>
  <si>
    <t>Khách không đăng nhập được</t>
  </si>
  <si>
    <t>ADM-020</t>
  </si>
  <si>
    <t>Xem đơn / chấm công / lương toàn hệ thống</t>
  </si>
  <si>
    <t>Có dữ liệu nhiều chi nhánh</t>
  </si>
  <si>
    <t>1. Mở các trang Đơn, Chấm công, Lương</t>
  </si>
  <si>
    <t>Thấy dữ liệu mọi chi nhánh, lọc theo chi nhánh được</t>
  </si>
  <si>
    <t>ADM-021</t>
  </si>
  <si>
    <t>Cài đặt hệ thống</t>
  </si>
  <si>
    <t>1. Vào Cài đặt
2. Tắt 1 phương thức thanh toán
3. Lưu</t>
  </si>
  <si>
    <t>Phương thức đó không còn ở checkout</t>
  </si>
  <si>
    <t>ADM-022</t>
  </si>
  <si>
    <t>Từ khóa chatbot</t>
  </si>
  <si>
    <t>1. Thêm / sửa / tắt / xóa từ khóa</t>
  </si>
  <si>
    <t>Chatbot trả lời theo cấu hình mới; từ khóa tắt không còn trả lời</t>
  </si>
  <si>
    <t>ADM-023</t>
  </si>
  <si>
    <t>Tin nhắn liên hệ</t>
  </si>
  <si>
    <t>Có tin nhắn</t>
  </si>
  <si>
    <t>1. Bấm đánh dấu đã xử lý</t>
  </si>
  <si>
    <t>Trạng thái đổi qua lại đúng</t>
  </si>
  <si>
    <t>ADM-024</t>
  </si>
  <si>
    <t>Nhật ký hệ thống</t>
  </si>
  <si>
    <t>Có thao tác trước đó</t>
  </si>
  <si>
    <t>1. Vào Nhật ký</t>
  </si>
  <si>
    <t>Ghi nhận thao tác quan trọng kèm người làm và thời gian</t>
  </si>
  <si>
    <t>ADM-025</t>
  </si>
  <si>
    <t>Báo cáo toàn hệ thống + xuất Excel</t>
  </si>
  <si>
    <t>1. Vào Báo cáo
2. Xuất Excel</t>
  </si>
  <si>
    <t>Số liệu tổng = cộng các chi nhánh</t>
  </si>
  <si>
    <t>STF-001</t>
  </si>
  <si>
    <t>Trang nhân viên</t>
  </si>
  <si>
    <t>Staff xem lịch làm của mình</t>
  </si>
  <si>
    <t>Đã được xếp lịch</t>
  </si>
  <si>
    <t>1. Đăng nhập staff
2. Vào /staff</t>
  </si>
  <si>
    <t>Hiện đúng lịch, giờ công, lương của chính mình</t>
  </si>
  <si>
    <t>STF-002</t>
  </si>
  <si>
    <t>Staff xuất lịch làm</t>
  </si>
  <si>
    <t>Tải file .xlsx lịch cá nhân</t>
  </si>
  <si>
    <t>STF-003</t>
  </si>
  <si>
    <t>Màn hình bếp</t>
  </si>
  <si>
    <t>Đăng nhập kitchen; có đơn đang xử lý</t>
  </si>
  <si>
    <t>1. Vào /kitchen</t>
  </si>
  <si>
    <t>Hiện đơn cần nấu của chi nhánh mình</t>
  </si>
  <si>
    <t>KIO-001</t>
  </si>
  <si>
    <t>Kiosk</t>
  </si>
  <si>
    <t>Chấm công khuôn mặt</t>
  </si>
  <si>
    <t>Chấm vào đúng giờ</t>
  </si>
  <si>
    <t>Có ca đang diễn ra, mặt đã đăng ký</t>
  </si>
  <si>
    <t>1. Đứng trước kiosk
2. Chọn Vào ca</t>
  </si>
  <si>
    <t>Báo chấm vào thành công, lưu ảnh bằng chứng và độ tương đồng</t>
  </si>
  <si>
    <t>KIO-002</t>
  </si>
  <si>
    <t>Chấm vào trễ hơn 5 phút</t>
  </si>
  <si>
    <t>Ca bắt đầu 07:00, chấm lúc 07:06</t>
  </si>
  <si>
    <t>1. Chấm vào</t>
  </si>
  <si>
    <t>Kiosk yêu cầu nhập lý do đi trễ; nhập xong mới ghi công</t>
  </si>
  <si>
    <t>KIO-003</t>
  </si>
  <si>
    <t>Chấm vào trễ đúng 5 phút</t>
  </si>
  <si>
    <t>Chấm lúc 07:05</t>
  </si>
  <si>
    <t>Không hỏi lý do trễ</t>
  </si>
  <si>
    <t>KIO-004</t>
  </si>
  <si>
    <t>Chấm ra sớm hơn 10 phút</t>
  </si>
  <si>
    <t>Ca kết thúc 12:00, chấm lúc 11:49</t>
  </si>
  <si>
    <t>1. Chấm ra</t>
  </si>
  <si>
    <t>Yêu cầu nhập lý do ra sớm</t>
  </si>
  <si>
    <t>KIO-005</t>
  </si>
  <si>
    <t>Chấm vào khi không có ca</t>
  </si>
  <si>
    <t>Ngoài giờ mọi ca</t>
  </si>
  <si>
    <t>Báo không có ca làm, không ghi công</t>
  </si>
  <si>
    <t>KIO-006</t>
  </si>
  <si>
    <t>Chấm vào 2 lần</t>
  </si>
  <si>
    <t>Đã chấm vào, chưa chấm ra</t>
  </si>
  <si>
    <t>1. Chấm vào lại (sau 2 phút)</t>
  </si>
  <si>
    <t>Báo đã chấm vào rồi</t>
  </si>
  <si>
    <t>KIO-007</t>
  </si>
  <si>
    <t>Chấm lặp trong 2 phút</t>
  </si>
  <si>
    <t>Vừa chấm</t>
  </si>
  <si>
    <t>1. Chấm lại ngay</t>
  </si>
  <si>
    <t>Coi là trùng, không tạo lượt mới</t>
  </si>
  <si>
    <t>KIO-008</t>
  </si>
  <si>
    <t>Chấm ra khi chưa chấm vào</t>
  </si>
  <si>
    <t>Chưa có lượt mở</t>
  </si>
  <si>
    <t>1. Chọn Ra ca</t>
  </si>
  <si>
    <t>Báo chưa chấm vào</t>
  </si>
  <si>
    <t>KIO-009</t>
  </si>
  <si>
    <t>Người lạ / chưa đăng ký mặt</t>
  </si>
  <si>
    <t>1. Người chưa đăng ký đứng trước kiosk</t>
  </si>
  <si>
    <t>Báo không nhận diện được, không ghi công</t>
  </si>
  <si>
    <t>KIO-010</t>
  </si>
  <si>
    <t>Dùng ảnh trên điện thoại để chấm hộ</t>
  </si>
  <si>
    <t>Có ảnh của nhân viên A</t>
  </si>
  <si>
    <t>1. Giơ ảnh A trước camera</t>
  </si>
  <si>
    <t>Ghi nhận kết quả (hệ thống có/không chống giả mạo) — ghi chú lại để báo cáo rủi ro</t>
  </si>
  <si>
    <t>KIO-011</t>
  </si>
  <si>
    <t>Gọi API kiosk không có token</t>
  </si>
  <si>
    <t>1. Gửi POST /kiosk/api/punch không có header X-Kiosk-Token</t>
  </si>
  <si>
    <t>Trả về 401, không chấm được</t>
  </si>
  <si>
    <t>KIO-012</t>
  </si>
  <si>
    <t>Chấm công ở chi nhánh khác</t>
  </si>
  <si>
    <t>NV chi nhánh A đứng ở kiosk chi nhánh B</t>
  </si>
  <si>
    <t>Nhận diện được người; xử lý theo ca của chi nhánh B (ghi nhận kết quả thực tế)</t>
  </si>
  <si>
    <t>NFR-001</t>
  </si>
  <si>
    <t>Phi chức năng</t>
  </si>
  <si>
    <t>Giao diện &amp; tương thích</t>
  </si>
  <si>
    <t>Hiển thị trên điện thoại (375px)</t>
  </si>
  <si>
    <t>1. Mở các trang chính ở chế độ mobile</t>
  </si>
  <si>
    <t>iPhone SE / 375px</t>
  </si>
  <si>
    <t>Không tràn ngang, nút bấm đủ lớn, menu thu gọn hoạt động</t>
  </si>
  <si>
    <t>NFR-002</t>
  </si>
  <si>
    <t>Hiển thị trên máy tính bảng (768px)</t>
  </si>
  <si>
    <t>1. Mở các trang chính ở 768px</t>
  </si>
  <si>
    <t>Bố cục không vỡ</t>
  </si>
  <si>
    <t>NFR-003</t>
  </si>
  <si>
    <t>Trình duyệt Chrome / Edge / Firefox</t>
  </si>
  <si>
    <t>1. Chạy luồng đặt hàng trên 3 trình duyệt</t>
  </si>
  <si>
    <t>Hoạt động giống nhau</t>
  </si>
  <si>
    <t>Tương thích</t>
  </si>
  <si>
    <t>NFR-004</t>
  </si>
  <si>
    <t>Giảm chuyển động</t>
  </si>
  <si>
    <t>Bật "Reduce motion" trên hệ điều hành</t>
  </si>
  <si>
    <t>1. Mở trang chủ</t>
  </si>
  <si>
    <t>Các hiệu ứng chuyển động bị tắt/giảm</t>
  </si>
  <si>
    <t>NFR-005</t>
  </si>
  <si>
    <t>Tiếng Việt có dấu</t>
  </si>
  <si>
    <t>1. Nhập tên, ghi chú có dấu
2. Xem lại ở đơn và file Excel</t>
  </si>
  <si>
    <t>Nguyễn Thị Ánh</t>
  </si>
  <si>
    <t>Hiển thị đúng dấu, không lỗi font</t>
  </si>
  <si>
    <t>NFR-006</t>
  </si>
  <si>
    <t>Trang 404 / 500 thân thiện</t>
  </si>
  <si>
    <t>1. Gõ URL không tồn tại</t>
  </si>
  <si>
    <t>/abc-xyz</t>
  </si>
  <si>
    <t>Hiện trang 404 có nút về trang chủ</t>
  </si>
  <si>
    <t>NFR-007</t>
  </si>
  <si>
    <t>Bảo mật &amp; hiệu năng</t>
  </si>
  <si>
    <t>CSRF token</t>
  </si>
  <si>
    <t>1. Gửi POST /cart/add từ công cụ ngoài không có token</t>
  </si>
  <si>
    <t>Trả về 419</t>
  </si>
  <si>
    <t>NFR-008</t>
  </si>
  <si>
    <t>SQL injection ô tìm kiếm / đăng nhập</t>
  </si>
  <si>
    <t>1. Nhập chuỗi injection</t>
  </si>
  <si>
    <t>' OR 1=1 --</t>
  </si>
  <si>
    <t>Không đăng nhập được, không lỗi SQL, không lộ dữ liệu</t>
  </si>
  <si>
    <t>NFR-009</t>
  </si>
  <si>
    <t>XSS ở ghi chú đơn / đánh giá</t>
  </si>
  <si>
    <t>1. Nhập script vào ghi chú, đánh giá
2. Manager mở xem</t>
  </si>
  <si>
    <t>&lt;img src=x onerror=alert(1)&gt;</t>
  </si>
  <si>
    <t>Hiển thị như chữ, không chạy script</t>
  </si>
  <si>
    <t>NFR-010</t>
  </si>
  <si>
    <t>Sửa giá trong request giỏ hàng</t>
  </si>
  <si>
    <t>1. Dùng DevTools sửa price khi thêm giỏ</t>
  </si>
  <si>
    <t>price=1</t>
  </si>
  <si>
    <t>Server bỏ qua, giá lấy từ CSDL</t>
  </si>
  <si>
    <t>NFR-011</t>
  </si>
  <si>
    <t>Mật khẩu được mã hóa</t>
  </si>
  <si>
    <t>1. Xem bảng users trong CSDL</t>
  </si>
  <si>
    <t>Cột password là chuỗi băm, không phải mật khẩu thật</t>
  </si>
  <si>
    <t>NFR-012</t>
  </si>
  <si>
    <t>Thời gian tải trang chủ</t>
  </si>
  <si>
    <t>Dữ liệu mẫu đầy đủ</t>
  </si>
  <si>
    <t>1. Mở trang chủ, đo bằng DevTools</t>
  </si>
  <si>
    <t>Tải xong &lt; 3 giây</t>
  </si>
  <si>
    <t>Hiệu năng</t>
  </si>
  <si>
    <t>NFR-013</t>
  </si>
  <si>
    <t>Bộ test tự động</t>
  </si>
  <si>
    <t>Đã cài đặt dự án</t>
  </si>
  <si>
    <t>1. Chạy php artisan test</t>
  </si>
  <si>
    <t>Toàn bộ test PASS</t>
  </si>
  <si>
    <t>Hồi quy</t>
  </si>
  <si>
    <t>KẾ HOẠCH KIỂM THỬ – ZOMZOP</t>
  </si>
  <si>
    <t>Dự án</t>
  </si>
  <si>
    <t>ZomZop – Web đặt món chuỗi nhà hàng + quản lý nội bộ</t>
  </si>
  <si>
    <t>Phiên bản / build</t>
  </si>
  <si>
    <t>Môi trường</t>
  </si>
  <si>
    <t>Laragon · http://zomzop.test · MySQL</t>
  </si>
  <si>
    <t>Người kiểm thử</t>
  </si>
  <si>
    <t>Ngày bắt đầu</t>
  </si>
  <si>
    <t>Tổng số test case</t>
  </si>
  <si>
    <t>CÁCH DÙNG</t>
  </si>
  <si>
    <t>1. Điền các ô nền vàng nhạt ở trên (phiên bản, người test, ngày).</t>
  </si>
  <si>
    <t>2. Sang sheet "Test Cases": làm theo cột "Các bước thực hiện" với "Dữ liệu test".</t>
  </si>
  <si>
    <t>3. So sánh với "Kết quả mong đợi", ghi "Kết quả thực tế" và chọn "Trạng thái" ở danh sách thả xuống.</t>
  </si>
  <si>
    <t>4. Test FAIL → ghi lỗi ở sheet "Bug Report", rồi điền mã lỗi (BUG-xxx) vào cột "Mã lỗi".</t>
  </si>
  <si>
    <t>5. Sheet "Tổng hợp" tự tính số Pass/Fail/tỉ lệ theo module — không cần nhập.</t>
  </si>
  <si>
    <t>Gợi ý: chạy các test ưu tiên Cao trước (lọc cột Ưu tiên). Dùng bộ lọc ở dòng tiêu đề để lọc theo module.</t>
  </si>
  <si>
    <t>CHÚ THÍCH</t>
  </si>
  <si>
    <t>Ô nền vàng nhạt</t>
  </si>
  <si>
    <t>Ô người test cần điền</t>
  </si>
  <si>
    <t>Pass</t>
  </si>
  <si>
    <t>Kết quả thực tế đúng như mong đợi</t>
  </si>
  <si>
    <t>Fail</t>
  </si>
  <si>
    <t>Sai so với mong đợi → tạo bug</t>
  </si>
  <si>
    <t>Blocked</t>
  </si>
  <si>
    <t>Không test được do lỗi khác / thiếu dữ liệu</t>
  </si>
  <si>
    <t>Chưa chạy (mặc định)</t>
  </si>
  <si>
    <t>Ưu tiên Cao</t>
  </si>
  <si>
    <t>Luồng chính, bảo mật, tiền – phải PASS trước khi bàn giao</t>
  </si>
  <si>
    <t>Chức năng · Âm tính · Biên · Bảo mật · Giao diện · Tích hợp · Tương thích · Hiệu năng · Hồi quy</t>
  </si>
  <si>
    <t>TÀI KHOẢN TEST</t>
  </si>
  <si>
    <t>Vai trò</t>
  </si>
  <si>
    <t>Email / mật khẩu (điền theo dữ liệu seed của bạn)</t>
  </si>
  <si>
    <t>admin</t>
  </si>
  <si>
    <t>manager (chi nhánh A)</t>
  </si>
  <si>
    <t>manager (chi nhánh B)</t>
  </si>
  <si>
    <t>staff</t>
  </si>
  <si>
    <t>kitchen</t>
  </si>
  <si>
    <t>customer A</t>
  </si>
  <si>
    <t>customer B</t>
  </si>
  <si>
    <t>TỔNG HỢP KẾT QUẢ KIỂM THỬ</t>
  </si>
  <si>
    <t>Tổng TC</t>
  </si>
  <si>
    <t>Đã chạy</t>
  </si>
  <si>
    <t>% Hoàn thành</t>
  </si>
  <si>
    <t>% Pass (trên đã chạy)</t>
  </si>
  <si>
    <t>TC Cao còn Fail</t>
  </si>
  <si>
    <t>TỔNG CỘNG</t>
  </si>
  <si>
    <t>Theo mức ưu tiên</t>
  </si>
  <si>
    <t>Kết luận</t>
  </si>
  <si>
    <t>Tiêu chí: chạy 100% test case, không còn lỗi ưu tiên Cao, tỉ lệ Pass ≥ 95%.</t>
  </si>
  <si>
    <t>Lỗi theo mức độ</t>
  </si>
  <si>
    <t>Mức độ</t>
  </si>
  <si>
    <t>Tổng lỗi</t>
  </si>
  <si>
    <t>Chưa đóng</t>
  </si>
  <si>
    <t>Nghiêm trọng</t>
  </si>
  <si>
    <t>Ghi chú: dòng BUG-001 ở sheet Bug Report là ví dụ, không được tính.</t>
  </si>
  <si>
    <t>Tiêu đề lỗi</t>
  </si>
  <si>
    <t>Ưu tiên sửa</t>
  </si>
  <si>
    <t>Các bước tái hiện</t>
  </si>
  <si>
    <t>Ảnh / video</t>
  </si>
  <si>
    <t>Người báo</t>
  </si>
  <si>
    <t>Ngày báo</t>
  </si>
  <si>
    <t>Người sửa</t>
  </si>
  <si>
    <t>BUG-001</t>
  </si>
  <si>
    <t>(VÍ DỤ) Phí ship giao tiêu chuẩn hiển thị 0đ</t>
  </si>
  <si>
    <t>1. Đăng nhập customer
2. Thêm món vào giỏ
3. Checkout, chọn Giao hàng – Tiêu chuẩn</t>
  </si>
  <si>
    <t>Phí ship 15.000đ</t>
  </si>
  <si>
    <t>Phí ship 0đ, tổng tiền thiếu 15.000đ</t>
  </si>
  <si>
    <t>link ảnh chụp</t>
  </si>
  <si>
    <t>Chrome 130 / Windows 11</t>
  </si>
  <si>
    <t>Tester</t>
  </si>
  <si>
    <t>Mới</t>
  </si>
  <si>
    <t>Xóa dòng ví dụ này khi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</si>
</sst>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8"/>
      <color rgb="FFC0392B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b/>
      <sz val="10"/>
      <color rgb="FFFFFFFF"/>
      <name val="Arial"/>
    </font>
    <font>
      <b/>
      <sz val="16"/>
      <color rgb="FFC0392B"/>
      <name val="Arial"/>
    </font>
    <font>
      <b/>
      <sz val="11"/>
      <color rgb="FFC0392B"/>
      <name val="Arial"/>
    </font>
    <font>
      <i/>
      <sz val="9"/>
      <color rgb="FF7F7F7F"/>
      <name val="Arial"/>
    </font>
    <font>
      <i/>
      <sz val="10"/>
      <color rgb="FF7F7F7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CF3CF"/>
      </patternFill>
    </fill>
    <fill>
      <patternFill patternType="solid">
        <fgColor rgb="FFC0392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6" borderId="0" xfId="0" applyFont="1" applyFill="1"/>
    <xf numFmtId="0" fontId="0" fillId="2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6" fillId="0" borderId="0" xfId="0" applyFont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5" fillId="6" borderId="1" xfId="0" applyFont="1" applyFill="1" applyBorder="1"/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0" borderId="0" xfId="0" applyFont="1"/>
    <xf numFmtId="0" fontId="0" fillId="0" borderId="0" xfId="0"/>
  </cellXfs>
  <cellStyles count="1">
    <cellStyle name="Bình thường" xfId="0" builtinId="0"/>
  </cellStyles>
  <dxfs count="4">
    <dxf>
      <fill>
        <patternFill patternType="solid">
          <fgColor rgb="FFFCF3CF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  <dxf>
      <font>
        <b/>
        <color rgb="FFC0392B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90" customWidth="1"/>
  </cols>
  <sheetData>
    <row r="2" spans="2:3" ht="23.25" x14ac:dyDescent="0.35">
      <c r="B2" s="1" t="s">
        <v>1035</v>
      </c>
    </row>
    <row r="4" spans="2:3" x14ac:dyDescent="0.25">
      <c r="B4" s="2" t="s">
        <v>1036</v>
      </c>
      <c r="C4" s="3" t="s">
        <v>1037</v>
      </c>
    </row>
    <row r="5" spans="2:3" x14ac:dyDescent="0.25">
      <c r="B5" s="2" t="s">
        <v>1038</v>
      </c>
      <c r="C5" s="4"/>
    </row>
    <row r="6" spans="2:3" x14ac:dyDescent="0.25">
      <c r="B6" s="2" t="s">
        <v>1039</v>
      </c>
      <c r="C6" s="3" t="s">
        <v>1040</v>
      </c>
    </row>
    <row r="7" spans="2:3" x14ac:dyDescent="0.25">
      <c r="B7" s="2" t="s">
        <v>1041</v>
      </c>
      <c r="C7" s="4"/>
    </row>
    <row r="8" spans="2:3" x14ac:dyDescent="0.25">
      <c r="B8" s="2" t="s">
        <v>1042</v>
      </c>
      <c r="C8" s="4"/>
    </row>
    <row r="9" spans="2:3" x14ac:dyDescent="0.25">
      <c r="B9" s="2" t="s">
        <v>1043</v>
      </c>
      <c r="C9" s="3">
        <f>COUNTA('Test Cases'!A:A)-1</f>
        <v>203</v>
      </c>
    </row>
    <row r="12" spans="2:3" ht="15.75" x14ac:dyDescent="0.25">
      <c r="B12" s="5" t="s">
        <v>1044</v>
      </c>
    </row>
    <row r="13" spans="2:3" x14ac:dyDescent="0.25">
      <c r="B13" s="32" t="s">
        <v>1045</v>
      </c>
      <c r="C13" s="33"/>
    </row>
    <row r="14" spans="2:3" x14ac:dyDescent="0.25">
      <c r="B14" s="32" t="s">
        <v>1046</v>
      </c>
      <c r="C14" s="33"/>
    </row>
    <row r="15" spans="2:3" x14ac:dyDescent="0.25">
      <c r="B15" s="32" t="s">
        <v>1047</v>
      </c>
      <c r="C15" s="33"/>
    </row>
    <row r="16" spans="2:3" x14ac:dyDescent="0.25">
      <c r="B16" s="32" t="s">
        <v>1048</v>
      </c>
      <c r="C16" s="33"/>
    </row>
    <row r="17" spans="2:3" x14ac:dyDescent="0.25">
      <c r="B17" s="32" t="s">
        <v>1049</v>
      </c>
      <c r="C17" s="33"/>
    </row>
    <row r="18" spans="2:3" x14ac:dyDescent="0.25">
      <c r="B18" s="32" t="s">
        <v>1050</v>
      </c>
      <c r="C18" s="33"/>
    </row>
    <row r="20" spans="2:3" ht="15.75" x14ac:dyDescent="0.25">
      <c r="B20" s="5" t="s">
        <v>1051</v>
      </c>
    </row>
    <row r="21" spans="2:3" x14ac:dyDescent="0.25">
      <c r="B21" s="6" t="s">
        <v>1052</v>
      </c>
      <c r="C21" s="7" t="s">
        <v>1053</v>
      </c>
    </row>
    <row r="22" spans="2:3" x14ac:dyDescent="0.25">
      <c r="B22" s="8" t="s">
        <v>1054</v>
      </c>
      <c r="C22" s="7" t="s">
        <v>1055</v>
      </c>
    </row>
    <row r="23" spans="2:3" x14ac:dyDescent="0.25">
      <c r="B23" s="9" t="s">
        <v>1056</v>
      </c>
      <c r="C23" s="7" t="s">
        <v>1057</v>
      </c>
    </row>
    <row r="24" spans="2:3" x14ac:dyDescent="0.25">
      <c r="B24" s="10" t="s">
        <v>1058</v>
      </c>
      <c r="C24" s="7" t="s">
        <v>1059</v>
      </c>
    </row>
    <row r="25" spans="2:3" x14ac:dyDescent="0.25">
      <c r="B25" s="2" t="s">
        <v>25</v>
      </c>
      <c r="C25" s="7" t="s">
        <v>1060</v>
      </c>
    </row>
    <row r="26" spans="2:3" x14ac:dyDescent="0.25">
      <c r="B26" s="2" t="s">
        <v>1061</v>
      </c>
      <c r="C26" s="7" t="s">
        <v>1062</v>
      </c>
    </row>
    <row r="27" spans="2:3" x14ac:dyDescent="0.25">
      <c r="B27" s="2" t="s">
        <v>9</v>
      </c>
      <c r="C27" s="7" t="s">
        <v>1063</v>
      </c>
    </row>
    <row r="29" spans="2:3" ht="15.75" x14ac:dyDescent="0.25">
      <c r="B29" s="5" t="s">
        <v>1064</v>
      </c>
    </row>
    <row r="30" spans="2:3" x14ac:dyDescent="0.25">
      <c r="B30" s="11" t="s">
        <v>1065</v>
      </c>
      <c r="C30" s="11" t="s">
        <v>1066</v>
      </c>
    </row>
    <row r="31" spans="2:3" x14ac:dyDescent="0.25">
      <c r="B31" s="7" t="s">
        <v>1067</v>
      </c>
      <c r="C31" s="12"/>
    </row>
    <row r="32" spans="2:3" x14ac:dyDescent="0.25">
      <c r="B32" s="7" t="s">
        <v>1068</v>
      </c>
      <c r="C32" s="12"/>
    </row>
    <row r="33" spans="2:3" x14ac:dyDescent="0.25">
      <c r="B33" s="7" t="s">
        <v>1069</v>
      </c>
      <c r="C33" s="12"/>
    </row>
    <row r="34" spans="2:3" x14ac:dyDescent="0.25">
      <c r="B34" s="7" t="s">
        <v>1070</v>
      </c>
      <c r="C34" s="12"/>
    </row>
    <row r="35" spans="2:3" x14ac:dyDescent="0.25">
      <c r="B35" s="7" t="s">
        <v>1071</v>
      </c>
      <c r="C35" s="12"/>
    </row>
    <row r="36" spans="2:3" x14ac:dyDescent="0.25">
      <c r="B36" s="7" t="s">
        <v>1072</v>
      </c>
      <c r="C36" s="12"/>
    </row>
    <row r="37" spans="2:3" x14ac:dyDescent="0.25">
      <c r="B37" s="7" t="s">
        <v>1073</v>
      </c>
      <c r="C37" s="12"/>
    </row>
  </sheetData>
  <mergeCells count="6">
    <mergeCell ref="B18:C18"/>
    <mergeCell ref="B13:C13"/>
    <mergeCell ref="B16:C16"/>
    <mergeCell ref="B15:C15"/>
    <mergeCell ref="B14:C14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4"/>
  <sheetViews>
    <sheetView tabSelected="1"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15" customWidth="1"/>
    <col min="3" max="3" width="18" customWidth="1"/>
    <col min="4" max="4" width="34" customWidth="1"/>
    <col min="5" max="5" width="26" customWidth="1"/>
    <col min="6" max="6" width="38" customWidth="1"/>
    <col min="7" max="7" width="28" customWidth="1"/>
    <col min="8" max="8" width="42" customWidth="1"/>
    <col min="9" max="9" width="11" customWidth="1"/>
    <col min="10" max="10" width="12" customWidth="1"/>
    <col min="11" max="11" width="30" customWidth="1"/>
    <col min="12" max="12" width="12" customWidth="1"/>
    <col min="13" max="13" width="13" customWidth="1"/>
    <col min="14" max="14" width="12" customWidth="1"/>
    <col min="15" max="15" width="10" customWidth="1"/>
    <col min="16" max="16" width="22" customWidth="1"/>
  </cols>
  <sheetData>
    <row r="1" spans="1:16" ht="30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spans="1:16" ht="51" x14ac:dyDescent="0.25">
      <c r="A2" s="14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4" t="s">
        <v>24</v>
      </c>
      <c r="J2" s="14" t="s">
        <v>2</v>
      </c>
      <c r="K2" s="16"/>
      <c r="L2" s="17" t="s">
        <v>25</v>
      </c>
      <c r="M2" s="16"/>
      <c r="N2" s="18"/>
      <c r="O2" s="17"/>
      <c r="P2" s="16"/>
    </row>
    <row r="3" spans="1:16" ht="38.25" x14ac:dyDescent="0.25">
      <c r="A3" s="14" t="s">
        <v>26</v>
      </c>
      <c r="B3" s="15" t="s">
        <v>17</v>
      </c>
      <c r="C3" s="15" t="s">
        <v>18</v>
      </c>
      <c r="D3" s="15" t="s">
        <v>27</v>
      </c>
      <c r="E3" s="15" t="s">
        <v>28</v>
      </c>
      <c r="F3" s="15" t="s">
        <v>29</v>
      </c>
      <c r="G3" s="15" t="s">
        <v>30</v>
      </c>
      <c r="H3" s="15" t="s">
        <v>31</v>
      </c>
      <c r="I3" s="14" t="s">
        <v>24</v>
      </c>
      <c r="J3" s="14" t="s">
        <v>32</v>
      </c>
      <c r="K3" s="16"/>
      <c r="L3" s="17" t="s">
        <v>25</v>
      </c>
      <c r="M3" s="16"/>
      <c r="N3" s="18"/>
      <c r="O3" s="17"/>
      <c r="P3" s="16"/>
    </row>
    <row r="4" spans="1:16" ht="25.5" x14ac:dyDescent="0.25">
      <c r="A4" s="14" t="s">
        <v>33</v>
      </c>
      <c r="B4" s="15" t="s">
        <v>17</v>
      </c>
      <c r="C4" s="15" t="s">
        <v>18</v>
      </c>
      <c r="D4" s="15" t="s">
        <v>34</v>
      </c>
      <c r="E4" s="15" t="s">
        <v>20</v>
      </c>
      <c r="F4" s="15" t="s">
        <v>35</v>
      </c>
      <c r="G4" s="15" t="s">
        <v>36</v>
      </c>
      <c r="H4" s="15" t="s">
        <v>37</v>
      </c>
      <c r="I4" s="14" t="s">
        <v>38</v>
      </c>
      <c r="J4" s="14" t="s">
        <v>32</v>
      </c>
      <c r="K4" s="16"/>
      <c r="L4" s="17" t="s">
        <v>25</v>
      </c>
      <c r="M4" s="16"/>
      <c r="N4" s="18"/>
      <c r="O4" s="17"/>
      <c r="P4" s="16"/>
    </row>
    <row r="5" spans="1:16" ht="25.5" x14ac:dyDescent="0.25">
      <c r="A5" s="14" t="s">
        <v>39</v>
      </c>
      <c r="B5" s="15" t="s">
        <v>17</v>
      </c>
      <c r="C5" s="15" t="s">
        <v>18</v>
      </c>
      <c r="D5" s="15" t="s">
        <v>40</v>
      </c>
      <c r="E5" s="15" t="s">
        <v>20</v>
      </c>
      <c r="F5" s="15" t="s">
        <v>41</v>
      </c>
      <c r="G5" s="15" t="s">
        <v>42</v>
      </c>
      <c r="H5" s="15" t="s">
        <v>43</v>
      </c>
      <c r="I5" s="14" t="s">
        <v>38</v>
      </c>
      <c r="J5" s="14" t="s">
        <v>44</v>
      </c>
      <c r="K5" s="16"/>
      <c r="L5" s="17" t="s">
        <v>25</v>
      </c>
      <c r="M5" s="16"/>
      <c r="N5" s="18"/>
      <c r="O5" s="17"/>
      <c r="P5" s="16"/>
    </row>
    <row r="6" spans="1:16" ht="25.5" x14ac:dyDescent="0.25">
      <c r="A6" s="14" t="s">
        <v>45</v>
      </c>
      <c r="B6" s="15" t="s">
        <v>17</v>
      </c>
      <c r="C6" s="15" t="s">
        <v>18</v>
      </c>
      <c r="D6" s="15" t="s">
        <v>46</v>
      </c>
      <c r="E6" s="15" t="s">
        <v>20</v>
      </c>
      <c r="F6" s="15" t="s">
        <v>47</v>
      </c>
      <c r="G6" s="15" t="s">
        <v>48</v>
      </c>
      <c r="H6" s="15" t="s">
        <v>49</v>
      </c>
      <c r="I6" s="14" t="s">
        <v>50</v>
      </c>
      <c r="J6" s="14" t="s">
        <v>44</v>
      </c>
      <c r="K6" s="16"/>
      <c r="L6" s="17" t="s">
        <v>25</v>
      </c>
      <c r="M6" s="16"/>
      <c r="N6" s="18"/>
      <c r="O6" s="17"/>
      <c r="P6" s="16"/>
    </row>
    <row r="7" spans="1:16" ht="25.5" x14ac:dyDescent="0.25">
      <c r="A7" s="14" t="s">
        <v>51</v>
      </c>
      <c r="B7" s="15" t="s">
        <v>17</v>
      </c>
      <c r="C7" s="15" t="s">
        <v>18</v>
      </c>
      <c r="D7" s="15" t="s">
        <v>52</v>
      </c>
      <c r="E7" s="15" t="s">
        <v>20</v>
      </c>
      <c r="F7" s="15" t="s">
        <v>53</v>
      </c>
      <c r="G7" s="15" t="s">
        <v>54</v>
      </c>
      <c r="H7" s="15" t="s">
        <v>55</v>
      </c>
      <c r="I7" s="14" t="s">
        <v>38</v>
      </c>
      <c r="J7" s="14" t="s">
        <v>32</v>
      </c>
      <c r="K7" s="16"/>
      <c r="L7" s="17" t="s">
        <v>25</v>
      </c>
      <c r="M7" s="16"/>
      <c r="N7" s="18"/>
      <c r="O7" s="17"/>
      <c r="P7" s="16"/>
    </row>
    <row r="8" spans="1:16" ht="25.5" x14ac:dyDescent="0.25">
      <c r="A8" s="14" t="s">
        <v>56</v>
      </c>
      <c r="B8" s="15" t="s">
        <v>17</v>
      </c>
      <c r="C8" s="15" t="s">
        <v>18</v>
      </c>
      <c r="D8" s="15" t="s">
        <v>57</v>
      </c>
      <c r="E8" s="15" t="s">
        <v>20</v>
      </c>
      <c r="F8" s="15" t="s">
        <v>58</v>
      </c>
      <c r="G8" s="15" t="s">
        <v>59</v>
      </c>
      <c r="H8" s="15" t="s">
        <v>60</v>
      </c>
      <c r="I8" s="14" t="s">
        <v>50</v>
      </c>
      <c r="J8" s="14" t="s">
        <v>32</v>
      </c>
      <c r="K8" s="16"/>
      <c r="L8" s="17" t="s">
        <v>25</v>
      </c>
      <c r="M8" s="16"/>
      <c r="N8" s="18"/>
      <c r="O8" s="17"/>
      <c r="P8" s="16"/>
    </row>
    <row r="9" spans="1:16" ht="25.5" x14ac:dyDescent="0.25">
      <c r="A9" s="14" t="s">
        <v>61</v>
      </c>
      <c r="B9" s="15" t="s">
        <v>17</v>
      </c>
      <c r="C9" s="15" t="s">
        <v>18</v>
      </c>
      <c r="D9" s="15" t="s">
        <v>62</v>
      </c>
      <c r="E9" s="15" t="s">
        <v>20</v>
      </c>
      <c r="F9" s="15" t="s">
        <v>63</v>
      </c>
      <c r="G9" s="15" t="s">
        <v>64</v>
      </c>
      <c r="H9" s="15" t="s">
        <v>65</v>
      </c>
      <c r="I9" s="14" t="s">
        <v>50</v>
      </c>
      <c r="J9" s="14" t="s">
        <v>44</v>
      </c>
      <c r="K9" s="16"/>
      <c r="L9" s="17" t="s">
        <v>25</v>
      </c>
      <c r="M9" s="16"/>
      <c r="N9" s="18"/>
      <c r="O9" s="17"/>
      <c r="P9" s="16"/>
    </row>
    <row r="10" spans="1:16" ht="38.25" x14ac:dyDescent="0.25">
      <c r="A10" s="14" t="s">
        <v>66</v>
      </c>
      <c r="B10" s="15" t="s">
        <v>17</v>
      </c>
      <c r="C10" s="15" t="s">
        <v>67</v>
      </c>
      <c r="D10" s="15" t="s">
        <v>68</v>
      </c>
      <c r="E10" s="15" t="s">
        <v>69</v>
      </c>
      <c r="F10" s="15" t="s">
        <v>70</v>
      </c>
      <c r="G10" s="15" t="s">
        <v>71</v>
      </c>
      <c r="H10" s="15" t="s">
        <v>72</v>
      </c>
      <c r="I10" s="14" t="s">
        <v>24</v>
      </c>
      <c r="J10" s="14" t="s">
        <v>2</v>
      </c>
      <c r="K10" s="16"/>
      <c r="L10" s="17" t="s">
        <v>25</v>
      </c>
      <c r="M10" s="16"/>
      <c r="N10" s="18"/>
      <c r="O10" s="17"/>
      <c r="P10" s="16"/>
    </row>
    <row r="11" spans="1:16" ht="25.5" x14ac:dyDescent="0.25">
      <c r="A11" s="14" t="s">
        <v>73</v>
      </c>
      <c r="B11" s="15" t="s">
        <v>17</v>
      </c>
      <c r="C11" s="15" t="s">
        <v>67</v>
      </c>
      <c r="D11" s="15" t="s">
        <v>74</v>
      </c>
      <c r="E11" s="15" t="s">
        <v>75</v>
      </c>
      <c r="F11" s="15" t="s">
        <v>76</v>
      </c>
      <c r="G11" s="15" t="s">
        <v>77</v>
      </c>
      <c r="H11" s="15" t="s">
        <v>78</v>
      </c>
      <c r="I11" s="14" t="s">
        <v>24</v>
      </c>
      <c r="J11" s="14" t="s">
        <v>2</v>
      </c>
      <c r="K11" s="16"/>
      <c r="L11" s="17" t="s">
        <v>25</v>
      </c>
      <c r="M11" s="16"/>
      <c r="N11" s="18"/>
      <c r="O11" s="17"/>
      <c r="P11" s="16"/>
    </row>
    <row r="12" spans="1:16" ht="25.5" x14ac:dyDescent="0.25">
      <c r="A12" s="14" t="s">
        <v>79</v>
      </c>
      <c r="B12" s="15" t="s">
        <v>17</v>
      </c>
      <c r="C12" s="15" t="s">
        <v>67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4" t="s">
        <v>24</v>
      </c>
      <c r="J12" s="14" t="s">
        <v>2</v>
      </c>
      <c r="K12" s="16"/>
      <c r="L12" s="17" t="s">
        <v>25</v>
      </c>
      <c r="M12" s="16"/>
      <c r="N12" s="18"/>
      <c r="O12" s="17"/>
      <c r="P12" s="16"/>
    </row>
    <row r="13" spans="1:16" ht="25.5" x14ac:dyDescent="0.25">
      <c r="A13" s="14" t="s">
        <v>85</v>
      </c>
      <c r="B13" s="15" t="s">
        <v>17</v>
      </c>
      <c r="C13" s="15" t="s">
        <v>67</v>
      </c>
      <c r="D13" s="15" t="s">
        <v>86</v>
      </c>
      <c r="E13" s="15" t="s">
        <v>87</v>
      </c>
      <c r="F13" s="15" t="s">
        <v>88</v>
      </c>
      <c r="G13" s="15" t="s">
        <v>89</v>
      </c>
      <c r="H13" s="15" t="s">
        <v>90</v>
      </c>
      <c r="I13" s="14" t="s">
        <v>24</v>
      </c>
      <c r="J13" s="14" t="s">
        <v>2</v>
      </c>
      <c r="K13" s="16"/>
      <c r="L13" s="17" t="s">
        <v>25</v>
      </c>
      <c r="M13" s="16"/>
      <c r="N13" s="18"/>
      <c r="O13" s="17"/>
      <c r="P13" s="16"/>
    </row>
    <row r="14" spans="1:16" ht="25.5" x14ac:dyDescent="0.25">
      <c r="A14" s="14" t="s">
        <v>91</v>
      </c>
      <c r="B14" s="15" t="s">
        <v>17</v>
      </c>
      <c r="C14" s="15" t="s">
        <v>67</v>
      </c>
      <c r="D14" s="15" t="s">
        <v>92</v>
      </c>
      <c r="E14" s="15" t="s">
        <v>93</v>
      </c>
      <c r="F14" s="15" t="s">
        <v>94</v>
      </c>
      <c r="G14" s="15" t="s">
        <v>95</v>
      </c>
      <c r="H14" s="15" t="s">
        <v>96</v>
      </c>
      <c r="I14" s="14" t="s">
        <v>24</v>
      </c>
      <c r="J14" s="14" t="s">
        <v>32</v>
      </c>
      <c r="K14" s="16"/>
      <c r="L14" s="17" t="s">
        <v>25</v>
      </c>
      <c r="M14" s="16"/>
      <c r="N14" s="18"/>
      <c r="O14" s="17"/>
      <c r="P14" s="16"/>
    </row>
    <row r="15" spans="1:16" ht="25.5" x14ac:dyDescent="0.25">
      <c r="A15" s="14" t="s">
        <v>97</v>
      </c>
      <c r="B15" s="15" t="s">
        <v>17</v>
      </c>
      <c r="C15" s="15" t="s">
        <v>67</v>
      </c>
      <c r="D15" s="15" t="s">
        <v>98</v>
      </c>
      <c r="E15" s="15" t="s">
        <v>99</v>
      </c>
      <c r="F15" s="15" t="s">
        <v>100</v>
      </c>
      <c r="G15" s="15" t="s">
        <v>101</v>
      </c>
      <c r="H15" s="15" t="s">
        <v>102</v>
      </c>
      <c r="I15" s="14" t="s">
        <v>24</v>
      </c>
      <c r="J15" s="14" t="s">
        <v>103</v>
      </c>
      <c r="K15" s="16"/>
      <c r="L15" s="17" t="s">
        <v>25</v>
      </c>
      <c r="M15" s="16"/>
      <c r="N15" s="18"/>
      <c r="O15" s="17"/>
      <c r="P15" s="16"/>
    </row>
    <row r="16" spans="1:16" ht="25.5" x14ac:dyDescent="0.25">
      <c r="A16" s="14" t="s">
        <v>104</v>
      </c>
      <c r="B16" s="15" t="s">
        <v>17</v>
      </c>
      <c r="C16" s="15" t="s">
        <v>67</v>
      </c>
      <c r="D16" s="15" t="s">
        <v>105</v>
      </c>
      <c r="E16" s="15" t="s">
        <v>106</v>
      </c>
      <c r="F16" s="15" t="s">
        <v>107</v>
      </c>
      <c r="G16" s="15" t="s">
        <v>108</v>
      </c>
      <c r="H16" s="15" t="s">
        <v>109</v>
      </c>
      <c r="I16" s="14" t="s">
        <v>38</v>
      </c>
      <c r="J16" s="14" t="s">
        <v>110</v>
      </c>
      <c r="K16" s="16"/>
      <c r="L16" s="17" t="s">
        <v>25</v>
      </c>
      <c r="M16" s="16"/>
      <c r="N16" s="18"/>
      <c r="O16" s="17"/>
      <c r="P16" s="16"/>
    </row>
    <row r="17" spans="1:16" ht="25.5" x14ac:dyDescent="0.25">
      <c r="A17" s="14" t="s">
        <v>111</v>
      </c>
      <c r="B17" s="15" t="s">
        <v>17</v>
      </c>
      <c r="C17" s="15" t="s">
        <v>67</v>
      </c>
      <c r="D17" s="15" t="s">
        <v>112</v>
      </c>
      <c r="E17" s="15" t="s">
        <v>113</v>
      </c>
      <c r="F17" s="15" t="s">
        <v>114</v>
      </c>
      <c r="G17" s="15" t="s">
        <v>115</v>
      </c>
      <c r="H17" s="15" t="s">
        <v>116</v>
      </c>
      <c r="I17" s="14" t="s">
        <v>50</v>
      </c>
      <c r="J17" s="14" t="s">
        <v>110</v>
      </c>
      <c r="K17" s="16"/>
      <c r="L17" s="17" t="s">
        <v>25</v>
      </c>
      <c r="M17" s="16"/>
      <c r="N17" s="18"/>
      <c r="O17" s="17"/>
      <c r="P17" s="16"/>
    </row>
    <row r="18" spans="1:16" ht="25.5" x14ac:dyDescent="0.25">
      <c r="A18" s="14" t="s">
        <v>117</v>
      </c>
      <c r="B18" s="15" t="s">
        <v>17</v>
      </c>
      <c r="C18" s="15" t="s">
        <v>67</v>
      </c>
      <c r="D18" s="15" t="s">
        <v>118</v>
      </c>
      <c r="E18" s="15" t="s">
        <v>106</v>
      </c>
      <c r="F18" s="15" t="s">
        <v>119</v>
      </c>
      <c r="G18" s="15" t="s">
        <v>120</v>
      </c>
      <c r="H18" s="15" t="s">
        <v>121</v>
      </c>
      <c r="I18" s="14" t="s">
        <v>50</v>
      </c>
      <c r="J18" s="14" t="s">
        <v>32</v>
      </c>
      <c r="K18" s="16"/>
      <c r="L18" s="17" t="s">
        <v>25</v>
      </c>
      <c r="M18" s="16"/>
      <c r="N18" s="18"/>
      <c r="O18" s="17"/>
      <c r="P18" s="16"/>
    </row>
    <row r="19" spans="1:16" ht="38.25" x14ac:dyDescent="0.25">
      <c r="A19" s="14" t="s">
        <v>122</v>
      </c>
      <c r="B19" s="15" t="s">
        <v>17</v>
      </c>
      <c r="C19" s="15" t="s">
        <v>67</v>
      </c>
      <c r="D19" s="15" t="s">
        <v>123</v>
      </c>
      <c r="E19" s="15" t="s">
        <v>124</v>
      </c>
      <c r="F19" s="15" t="s">
        <v>125</v>
      </c>
      <c r="G19" s="15" t="s">
        <v>120</v>
      </c>
      <c r="H19" s="15" t="s">
        <v>126</v>
      </c>
      <c r="I19" s="14" t="s">
        <v>38</v>
      </c>
      <c r="J19" s="14" t="s">
        <v>2</v>
      </c>
      <c r="K19" s="16"/>
      <c r="L19" s="17" t="s">
        <v>25</v>
      </c>
      <c r="M19" s="16"/>
      <c r="N19" s="18"/>
      <c r="O19" s="17"/>
      <c r="P19" s="16"/>
    </row>
    <row r="20" spans="1:16" x14ac:dyDescent="0.25">
      <c r="A20" s="14" t="s">
        <v>127</v>
      </c>
      <c r="B20" s="15" t="s">
        <v>17</v>
      </c>
      <c r="C20" s="15" t="s">
        <v>128</v>
      </c>
      <c r="D20" s="15" t="s">
        <v>129</v>
      </c>
      <c r="E20" s="15" t="s">
        <v>130</v>
      </c>
      <c r="F20" s="15" t="s">
        <v>131</v>
      </c>
      <c r="G20" s="15" t="s">
        <v>120</v>
      </c>
      <c r="H20" s="15" t="s">
        <v>132</v>
      </c>
      <c r="I20" s="14" t="s">
        <v>24</v>
      </c>
      <c r="J20" s="14" t="s">
        <v>103</v>
      </c>
      <c r="K20" s="16"/>
      <c r="L20" s="17" t="s">
        <v>25</v>
      </c>
      <c r="M20" s="16"/>
      <c r="N20" s="18"/>
      <c r="O20" s="17"/>
      <c r="P20" s="16"/>
    </row>
    <row r="21" spans="1:16" x14ac:dyDescent="0.25">
      <c r="A21" s="14" t="s">
        <v>133</v>
      </c>
      <c r="B21" s="15" t="s">
        <v>17</v>
      </c>
      <c r="C21" s="15" t="s">
        <v>128</v>
      </c>
      <c r="D21" s="15" t="s">
        <v>134</v>
      </c>
      <c r="E21" s="15" t="s">
        <v>135</v>
      </c>
      <c r="F21" s="15" t="s">
        <v>136</v>
      </c>
      <c r="G21" s="15" t="s">
        <v>120</v>
      </c>
      <c r="H21" s="15" t="s">
        <v>137</v>
      </c>
      <c r="I21" s="14" t="s">
        <v>24</v>
      </c>
      <c r="J21" s="14" t="s">
        <v>103</v>
      </c>
      <c r="K21" s="16"/>
      <c r="L21" s="17" t="s">
        <v>25</v>
      </c>
      <c r="M21" s="16"/>
      <c r="N21" s="18"/>
      <c r="O21" s="17"/>
      <c r="P21" s="16"/>
    </row>
    <row r="22" spans="1:16" x14ac:dyDescent="0.25">
      <c r="A22" s="14" t="s">
        <v>138</v>
      </c>
      <c r="B22" s="15" t="s">
        <v>17</v>
      </c>
      <c r="C22" s="15" t="s">
        <v>128</v>
      </c>
      <c r="D22" s="15" t="s">
        <v>139</v>
      </c>
      <c r="E22" s="15" t="s">
        <v>140</v>
      </c>
      <c r="F22" s="15" t="s">
        <v>141</v>
      </c>
      <c r="G22" s="15" t="s">
        <v>120</v>
      </c>
      <c r="H22" s="15" t="s">
        <v>137</v>
      </c>
      <c r="I22" s="14" t="s">
        <v>38</v>
      </c>
      <c r="J22" s="14" t="s">
        <v>103</v>
      </c>
      <c r="K22" s="16"/>
      <c r="L22" s="17" t="s">
        <v>25</v>
      </c>
      <c r="M22" s="16"/>
      <c r="N22" s="18"/>
      <c r="O22" s="17"/>
      <c r="P22" s="16"/>
    </row>
    <row r="23" spans="1:16" ht="25.5" x14ac:dyDescent="0.25">
      <c r="A23" s="14" t="s">
        <v>142</v>
      </c>
      <c r="B23" s="15" t="s">
        <v>17</v>
      </c>
      <c r="C23" s="15" t="s">
        <v>128</v>
      </c>
      <c r="D23" s="15" t="s">
        <v>143</v>
      </c>
      <c r="E23" s="15" t="s">
        <v>20</v>
      </c>
      <c r="F23" s="15" t="s">
        <v>144</v>
      </c>
      <c r="G23" s="15" t="s">
        <v>120</v>
      </c>
      <c r="H23" s="15" t="s">
        <v>145</v>
      </c>
      <c r="I23" s="14" t="s">
        <v>24</v>
      </c>
      <c r="J23" s="14" t="s">
        <v>103</v>
      </c>
      <c r="K23" s="16"/>
      <c r="L23" s="17" t="s">
        <v>25</v>
      </c>
      <c r="M23" s="16"/>
      <c r="N23" s="18"/>
      <c r="O23" s="17"/>
      <c r="P23" s="16"/>
    </row>
    <row r="24" spans="1:16" ht="25.5" x14ac:dyDescent="0.25">
      <c r="A24" s="14" t="s">
        <v>146</v>
      </c>
      <c r="B24" s="15" t="s">
        <v>17</v>
      </c>
      <c r="C24" s="15" t="s">
        <v>128</v>
      </c>
      <c r="D24" s="15" t="s">
        <v>147</v>
      </c>
      <c r="E24" s="15" t="s">
        <v>124</v>
      </c>
      <c r="F24" s="15" t="s">
        <v>148</v>
      </c>
      <c r="G24" s="15" t="s">
        <v>120</v>
      </c>
      <c r="H24" s="15" t="s">
        <v>149</v>
      </c>
      <c r="I24" s="14" t="s">
        <v>50</v>
      </c>
      <c r="J24" s="14" t="s">
        <v>2</v>
      </c>
      <c r="K24" s="16"/>
      <c r="L24" s="17" t="s">
        <v>25</v>
      </c>
      <c r="M24" s="16"/>
      <c r="N24" s="18"/>
      <c r="O24" s="17"/>
      <c r="P24" s="16"/>
    </row>
    <row r="25" spans="1:16" ht="38.25" x14ac:dyDescent="0.25">
      <c r="A25" s="14" t="s">
        <v>150</v>
      </c>
      <c r="B25" s="15" t="s">
        <v>151</v>
      </c>
      <c r="C25" s="15" t="s">
        <v>152</v>
      </c>
      <c r="D25" s="15" t="s">
        <v>153</v>
      </c>
      <c r="E25" s="15" t="s">
        <v>154</v>
      </c>
      <c r="F25" s="15" t="s">
        <v>155</v>
      </c>
      <c r="G25" s="15" t="s">
        <v>156</v>
      </c>
      <c r="H25" s="15" t="s">
        <v>157</v>
      </c>
      <c r="I25" s="14" t="s">
        <v>24</v>
      </c>
      <c r="J25" s="14" t="s">
        <v>2</v>
      </c>
      <c r="K25" s="16"/>
      <c r="L25" s="17" t="s">
        <v>25</v>
      </c>
      <c r="M25" s="16"/>
      <c r="N25" s="18"/>
      <c r="O25" s="17"/>
      <c r="P25" s="16"/>
    </row>
    <row r="26" spans="1:16" ht="25.5" x14ac:dyDescent="0.25">
      <c r="A26" s="14" t="s">
        <v>158</v>
      </c>
      <c r="B26" s="15" t="s">
        <v>151</v>
      </c>
      <c r="C26" s="15" t="s">
        <v>152</v>
      </c>
      <c r="D26" s="15" t="s">
        <v>159</v>
      </c>
      <c r="E26" s="15" t="s">
        <v>160</v>
      </c>
      <c r="F26" s="15" t="s">
        <v>161</v>
      </c>
      <c r="G26" s="15" t="s">
        <v>120</v>
      </c>
      <c r="H26" s="15" t="s">
        <v>162</v>
      </c>
      <c r="I26" s="14" t="s">
        <v>38</v>
      </c>
      <c r="J26" s="14" t="s">
        <v>2</v>
      </c>
      <c r="K26" s="16"/>
      <c r="L26" s="17" t="s">
        <v>25</v>
      </c>
      <c r="M26" s="16"/>
      <c r="N26" s="18"/>
      <c r="O26" s="17"/>
      <c r="P26" s="16"/>
    </row>
    <row r="27" spans="1:16" ht="25.5" x14ac:dyDescent="0.25">
      <c r="A27" s="14" t="s">
        <v>163</v>
      </c>
      <c r="B27" s="15" t="s">
        <v>151</v>
      </c>
      <c r="C27" s="15" t="s">
        <v>152</v>
      </c>
      <c r="D27" s="15" t="s">
        <v>164</v>
      </c>
      <c r="E27" s="15" t="s">
        <v>154</v>
      </c>
      <c r="F27" s="15" t="s">
        <v>165</v>
      </c>
      <c r="G27" s="15" t="s">
        <v>120</v>
      </c>
      <c r="H27" s="15" t="s">
        <v>166</v>
      </c>
      <c r="I27" s="14" t="s">
        <v>24</v>
      </c>
      <c r="J27" s="14" t="s">
        <v>32</v>
      </c>
      <c r="K27" s="16"/>
      <c r="L27" s="17" t="s">
        <v>25</v>
      </c>
      <c r="M27" s="16"/>
      <c r="N27" s="18"/>
      <c r="O27" s="17"/>
      <c r="P27" s="16"/>
    </row>
    <row r="28" spans="1:16" ht="25.5" x14ac:dyDescent="0.25">
      <c r="A28" s="14" t="s">
        <v>167</v>
      </c>
      <c r="B28" s="15" t="s">
        <v>151</v>
      </c>
      <c r="C28" s="15" t="s">
        <v>168</v>
      </c>
      <c r="D28" s="15" t="s">
        <v>169</v>
      </c>
      <c r="E28" s="15" t="s">
        <v>120</v>
      </c>
      <c r="F28" s="15" t="s">
        <v>170</v>
      </c>
      <c r="G28" s="15" t="s">
        <v>120</v>
      </c>
      <c r="H28" s="15" t="s">
        <v>171</v>
      </c>
      <c r="I28" s="14" t="s">
        <v>24</v>
      </c>
      <c r="J28" s="14" t="s">
        <v>172</v>
      </c>
      <c r="K28" s="16"/>
      <c r="L28" s="17" t="s">
        <v>25</v>
      </c>
      <c r="M28" s="16"/>
      <c r="N28" s="18"/>
      <c r="O28" s="17"/>
      <c r="P28" s="16"/>
    </row>
    <row r="29" spans="1:16" ht="25.5" x14ac:dyDescent="0.25">
      <c r="A29" s="14" t="s">
        <v>173</v>
      </c>
      <c r="B29" s="15" t="s">
        <v>151</v>
      </c>
      <c r="C29" s="15" t="s">
        <v>168</v>
      </c>
      <c r="D29" s="15" t="s">
        <v>174</v>
      </c>
      <c r="E29" s="15" t="s">
        <v>175</v>
      </c>
      <c r="F29" s="15" t="s">
        <v>176</v>
      </c>
      <c r="G29" s="15" t="s">
        <v>120</v>
      </c>
      <c r="H29" s="15" t="s">
        <v>177</v>
      </c>
      <c r="I29" s="14" t="s">
        <v>24</v>
      </c>
      <c r="J29" s="14" t="s">
        <v>2</v>
      </c>
      <c r="K29" s="16"/>
      <c r="L29" s="17" t="s">
        <v>25</v>
      </c>
      <c r="M29" s="16"/>
      <c r="N29" s="18"/>
      <c r="O29" s="17"/>
      <c r="P29" s="16"/>
    </row>
    <row r="30" spans="1:16" x14ac:dyDescent="0.25">
      <c r="A30" s="14" t="s">
        <v>178</v>
      </c>
      <c r="B30" s="15" t="s">
        <v>151</v>
      </c>
      <c r="C30" s="15" t="s">
        <v>168</v>
      </c>
      <c r="D30" s="15" t="s">
        <v>179</v>
      </c>
      <c r="E30" s="15" t="s">
        <v>120</v>
      </c>
      <c r="F30" s="15" t="s">
        <v>180</v>
      </c>
      <c r="G30" s="15" t="s">
        <v>181</v>
      </c>
      <c r="H30" s="15" t="s">
        <v>182</v>
      </c>
      <c r="I30" s="14" t="s">
        <v>38</v>
      </c>
      <c r="J30" s="14" t="s">
        <v>2</v>
      </c>
      <c r="K30" s="16"/>
      <c r="L30" s="17" t="s">
        <v>25</v>
      </c>
      <c r="M30" s="16"/>
      <c r="N30" s="18"/>
      <c r="O30" s="17"/>
      <c r="P30" s="16"/>
    </row>
    <row r="31" spans="1:16" x14ac:dyDescent="0.25">
      <c r="A31" s="14" t="s">
        <v>183</v>
      </c>
      <c r="B31" s="15" t="s">
        <v>151</v>
      </c>
      <c r="C31" s="15" t="s">
        <v>168</v>
      </c>
      <c r="D31" s="15" t="s">
        <v>184</v>
      </c>
      <c r="E31" s="15" t="s">
        <v>120</v>
      </c>
      <c r="F31" s="15" t="s">
        <v>185</v>
      </c>
      <c r="G31" s="15" t="s">
        <v>120</v>
      </c>
      <c r="H31" s="15" t="s">
        <v>186</v>
      </c>
      <c r="I31" s="14" t="s">
        <v>50</v>
      </c>
      <c r="J31" s="14" t="s">
        <v>32</v>
      </c>
      <c r="K31" s="16"/>
      <c r="L31" s="17" t="s">
        <v>25</v>
      </c>
      <c r="M31" s="16"/>
      <c r="N31" s="18"/>
      <c r="O31" s="17"/>
      <c r="P31" s="16"/>
    </row>
    <row r="32" spans="1:16" ht="25.5" x14ac:dyDescent="0.25">
      <c r="A32" s="14" t="s">
        <v>187</v>
      </c>
      <c r="B32" s="15" t="s">
        <v>151</v>
      </c>
      <c r="C32" s="15" t="s">
        <v>168</v>
      </c>
      <c r="D32" s="15" t="s">
        <v>188</v>
      </c>
      <c r="E32" s="15" t="s">
        <v>189</v>
      </c>
      <c r="F32" s="15" t="s">
        <v>190</v>
      </c>
      <c r="G32" s="15" t="s">
        <v>120</v>
      </c>
      <c r="H32" s="15" t="s">
        <v>191</v>
      </c>
      <c r="I32" s="14" t="s">
        <v>50</v>
      </c>
      <c r="J32" s="14" t="s">
        <v>2</v>
      </c>
      <c r="K32" s="16"/>
      <c r="L32" s="17" t="s">
        <v>25</v>
      </c>
      <c r="M32" s="16"/>
      <c r="N32" s="18"/>
      <c r="O32" s="17"/>
      <c r="P32" s="16"/>
    </row>
    <row r="33" spans="1:16" x14ac:dyDescent="0.25">
      <c r="A33" s="14" t="s">
        <v>192</v>
      </c>
      <c r="B33" s="15" t="s">
        <v>151</v>
      </c>
      <c r="C33" s="15" t="s">
        <v>168</v>
      </c>
      <c r="D33" s="15" t="s">
        <v>193</v>
      </c>
      <c r="E33" s="15" t="s">
        <v>120</v>
      </c>
      <c r="F33" s="15" t="s">
        <v>194</v>
      </c>
      <c r="G33" s="15" t="s">
        <v>195</v>
      </c>
      <c r="H33" s="15" t="s">
        <v>196</v>
      </c>
      <c r="I33" s="14" t="s">
        <v>38</v>
      </c>
      <c r="J33" s="14" t="s">
        <v>2</v>
      </c>
      <c r="K33" s="16"/>
      <c r="L33" s="17" t="s">
        <v>25</v>
      </c>
      <c r="M33" s="16"/>
      <c r="N33" s="18"/>
      <c r="O33" s="17"/>
      <c r="P33" s="16"/>
    </row>
    <row r="34" spans="1:16" x14ac:dyDescent="0.25">
      <c r="A34" s="14" t="s">
        <v>197</v>
      </c>
      <c r="B34" s="15" t="s">
        <v>151</v>
      </c>
      <c r="C34" s="15" t="s">
        <v>168</v>
      </c>
      <c r="D34" s="15" t="s">
        <v>198</v>
      </c>
      <c r="E34" s="15" t="s">
        <v>120</v>
      </c>
      <c r="F34" s="15" t="s">
        <v>199</v>
      </c>
      <c r="G34" s="15" t="s">
        <v>200</v>
      </c>
      <c r="H34" s="15" t="s">
        <v>201</v>
      </c>
      <c r="I34" s="14" t="s">
        <v>50</v>
      </c>
      <c r="J34" s="14" t="s">
        <v>32</v>
      </c>
      <c r="K34" s="16"/>
      <c r="L34" s="17" t="s">
        <v>25</v>
      </c>
      <c r="M34" s="16"/>
      <c r="N34" s="18"/>
      <c r="O34" s="17"/>
      <c r="P34" s="16"/>
    </row>
    <row r="35" spans="1:16" ht="25.5" x14ac:dyDescent="0.25">
      <c r="A35" s="14" t="s">
        <v>202</v>
      </c>
      <c r="B35" s="15" t="s">
        <v>151</v>
      </c>
      <c r="C35" s="15" t="s">
        <v>168</v>
      </c>
      <c r="D35" s="15" t="s">
        <v>203</v>
      </c>
      <c r="E35" s="15" t="s">
        <v>120</v>
      </c>
      <c r="F35" s="15" t="s">
        <v>204</v>
      </c>
      <c r="G35" s="15" t="s">
        <v>205</v>
      </c>
      <c r="H35" s="15" t="s">
        <v>206</v>
      </c>
      <c r="I35" s="14" t="s">
        <v>24</v>
      </c>
      <c r="J35" s="14" t="s">
        <v>103</v>
      </c>
      <c r="K35" s="16"/>
      <c r="L35" s="17" t="s">
        <v>25</v>
      </c>
      <c r="M35" s="16"/>
      <c r="N35" s="18"/>
      <c r="O35" s="17"/>
      <c r="P35" s="16"/>
    </row>
    <row r="36" spans="1:16" ht="25.5" x14ac:dyDescent="0.25">
      <c r="A36" s="14" t="s">
        <v>207</v>
      </c>
      <c r="B36" s="15" t="s">
        <v>151</v>
      </c>
      <c r="C36" s="15" t="s">
        <v>168</v>
      </c>
      <c r="D36" s="15" t="s">
        <v>208</v>
      </c>
      <c r="E36" s="15" t="s">
        <v>120</v>
      </c>
      <c r="F36" s="15" t="s">
        <v>209</v>
      </c>
      <c r="G36" s="15" t="s">
        <v>120</v>
      </c>
      <c r="H36" s="15" t="s">
        <v>210</v>
      </c>
      <c r="I36" s="14" t="s">
        <v>38</v>
      </c>
      <c r="J36" s="14" t="s">
        <v>2</v>
      </c>
      <c r="K36" s="16"/>
      <c r="L36" s="17" t="s">
        <v>25</v>
      </c>
      <c r="M36" s="16"/>
      <c r="N36" s="18"/>
      <c r="O36" s="17"/>
      <c r="P36" s="16"/>
    </row>
    <row r="37" spans="1:16" ht="25.5" x14ac:dyDescent="0.25">
      <c r="A37" s="14" t="s">
        <v>211</v>
      </c>
      <c r="B37" s="15" t="s">
        <v>151</v>
      </c>
      <c r="C37" s="15" t="s">
        <v>168</v>
      </c>
      <c r="D37" s="15" t="s">
        <v>212</v>
      </c>
      <c r="E37" s="15" t="s">
        <v>213</v>
      </c>
      <c r="F37" s="15" t="s">
        <v>214</v>
      </c>
      <c r="G37" s="15" t="s">
        <v>120</v>
      </c>
      <c r="H37" s="15" t="s">
        <v>215</v>
      </c>
      <c r="I37" s="14" t="s">
        <v>24</v>
      </c>
      <c r="J37" s="14" t="s">
        <v>2</v>
      </c>
      <c r="K37" s="16"/>
      <c r="L37" s="17" t="s">
        <v>25</v>
      </c>
      <c r="M37" s="16"/>
      <c r="N37" s="18"/>
      <c r="O37" s="17"/>
      <c r="P37" s="16"/>
    </row>
    <row r="38" spans="1:16" ht="25.5" x14ac:dyDescent="0.25">
      <c r="A38" s="14" t="s">
        <v>216</v>
      </c>
      <c r="B38" s="15" t="s">
        <v>151</v>
      </c>
      <c r="C38" s="15" t="s">
        <v>217</v>
      </c>
      <c r="D38" s="15" t="s">
        <v>218</v>
      </c>
      <c r="E38" s="15" t="s">
        <v>130</v>
      </c>
      <c r="F38" s="15" t="s">
        <v>219</v>
      </c>
      <c r="G38" s="15" t="s">
        <v>120</v>
      </c>
      <c r="H38" s="15" t="s">
        <v>220</v>
      </c>
      <c r="I38" s="14" t="s">
        <v>50</v>
      </c>
      <c r="J38" s="14" t="s">
        <v>2</v>
      </c>
      <c r="K38" s="16"/>
      <c r="L38" s="17" t="s">
        <v>25</v>
      </c>
      <c r="M38" s="16"/>
      <c r="N38" s="18"/>
      <c r="O38" s="17"/>
      <c r="P38" s="16"/>
    </row>
    <row r="39" spans="1:16" x14ac:dyDescent="0.25">
      <c r="A39" s="14" t="s">
        <v>221</v>
      </c>
      <c r="B39" s="15" t="s">
        <v>151</v>
      </c>
      <c r="C39" s="15" t="s">
        <v>217</v>
      </c>
      <c r="D39" s="15" t="s">
        <v>222</v>
      </c>
      <c r="E39" s="15" t="s">
        <v>20</v>
      </c>
      <c r="F39" s="15" t="s">
        <v>223</v>
      </c>
      <c r="G39" s="15" t="s">
        <v>120</v>
      </c>
      <c r="H39" s="15" t="s">
        <v>224</v>
      </c>
      <c r="I39" s="14" t="s">
        <v>50</v>
      </c>
      <c r="J39" s="14" t="s">
        <v>32</v>
      </c>
      <c r="K39" s="16"/>
      <c r="L39" s="17" t="s">
        <v>25</v>
      </c>
      <c r="M39" s="16"/>
      <c r="N39" s="18"/>
      <c r="O39" s="17"/>
      <c r="P39" s="16"/>
    </row>
    <row r="40" spans="1:16" ht="25.5" x14ac:dyDescent="0.25">
      <c r="A40" s="14" t="s">
        <v>225</v>
      </c>
      <c r="B40" s="15" t="s">
        <v>226</v>
      </c>
      <c r="C40" s="15" t="s">
        <v>227</v>
      </c>
      <c r="D40" s="15" t="s">
        <v>228</v>
      </c>
      <c r="E40" s="15" t="s">
        <v>175</v>
      </c>
      <c r="F40" s="15" t="s">
        <v>165</v>
      </c>
      <c r="G40" s="15" t="s">
        <v>229</v>
      </c>
      <c r="H40" s="15" t="s">
        <v>230</v>
      </c>
      <c r="I40" s="14" t="s">
        <v>24</v>
      </c>
      <c r="J40" s="14" t="s">
        <v>2</v>
      </c>
      <c r="K40" s="16"/>
      <c r="L40" s="17" t="s">
        <v>25</v>
      </c>
      <c r="M40" s="16"/>
      <c r="N40" s="18"/>
      <c r="O40" s="17"/>
      <c r="P40" s="16"/>
    </row>
    <row r="41" spans="1:16" ht="38.25" x14ac:dyDescent="0.25">
      <c r="A41" s="14" t="s">
        <v>231</v>
      </c>
      <c r="B41" s="15" t="s">
        <v>226</v>
      </c>
      <c r="C41" s="15" t="s">
        <v>227</v>
      </c>
      <c r="D41" s="15" t="s">
        <v>232</v>
      </c>
      <c r="E41" s="15" t="s">
        <v>233</v>
      </c>
      <c r="F41" s="15" t="s">
        <v>234</v>
      </c>
      <c r="G41" s="15" t="s">
        <v>235</v>
      </c>
      <c r="H41" s="15" t="s">
        <v>236</v>
      </c>
      <c r="I41" s="14" t="s">
        <v>24</v>
      </c>
      <c r="J41" s="14" t="s">
        <v>2</v>
      </c>
      <c r="K41" s="16"/>
      <c r="L41" s="17" t="s">
        <v>25</v>
      </c>
      <c r="M41" s="16"/>
      <c r="N41" s="18"/>
      <c r="O41" s="17"/>
      <c r="P41" s="16"/>
    </row>
    <row r="42" spans="1:16" x14ac:dyDescent="0.25">
      <c r="A42" s="14" t="s">
        <v>237</v>
      </c>
      <c r="B42" s="15" t="s">
        <v>226</v>
      </c>
      <c r="C42" s="15" t="s">
        <v>227</v>
      </c>
      <c r="D42" s="15" t="s">
        <v>238</v>
      </c>
      <c r="E42" s="15" t="s">
        <v>175</v>
      </c>
      <c r="F42" s="15" t="s">
        <v>239</v>
      </c>
      <c r="G42" s="15" t="s">
        <v>120</v>
      </c>
      <c r="H42" s="15" t="s">
        <v>240</v>
      </c>
      <c r="I42" s="14" t="s">
        <v>38</v>
      </c>
      <c r="J42" s="14" t="s">
        <v>2</v>
      </c>
      <c r="K42" s="16"/>
      <c r="L42" s="17" t="s">
        <v>25</v>
      </c>
      <c r="M42" s="16"/>
      <c r="N42" s="18"/>
      <c r="O42" s="17"/>
      <c r="P42" s="16"/>
    </row>
    <row r="43" spans="1:16" ht="25.5" x14ac:dyDescent="0.25">
      <c r="A43" s="14" t="s">
        <v>241</v>
      </c>
      <c r="B43" s="15" t="s">
        <v>226</v>
      </c>
      <c r="C43" s="15" t="s">
        <v>227</v>
      </c>
      <c r="D43" s="15" t="s">
        <v>242</v>
      </c>
      <c r="E43" s="15" t="s">
        <v>233</v>
      </c>
      <c r="F43" s="15" t="s">
        <v>243</v>
      </c>
      <c r="G43" s="15" t="s">
        <v>120</v>
      </c>
      <c r="H43" s="15" t="s">
        <v>244</v>
      </c>
      <c r="I43" s="14" t="s">
        <v>38</v>
      </c>
      <c r="J43" s="14" t="s">
        <v>2</v>
      </c>
      <c r="K43" s="16"/>
      <c r="L43" s="17" t="s">
        <v>25</v>
      </c>
      <c r="M43" s="16"/>
      <c r="N43" s="18"/>
      <c r="O43" s="17"/>
      <c r="P43" s="16"/>
    </row>
    <row r="44" spans="1:16" ht="25.5" x14ac:dyDescent="0.25">
      <c r="A44" s="14" t="s">
        <v>245</v>
      </c>
      <c r="B44" s="15" t="s">
        <v>226</v>
      </c>
      <c r="C44" s="15" t="s">
        <v>227</v>
      </c>
      <c r="D44" s="15" t="s">
        <v>246</v>
      </c>
      <c r="E44" s="15" t="s">
        <v>247</v>
      </c>
      <c r="F44" s="15" t="s">
        <v>248</v>
      </c>
      <c r="G44" s="15" t="s">
        <v>249</v>
      </c>
      <c r="H44" s="15" t="s">
        <v>250</v>
      </c>
      <c r="I44" s="14" t="s">
        <v>24</v>
      </c>
      <c r="J44" s="14" t="s">
        <v>2</v>
      </c>
      <c r="K44" s="16"/>
      <c r="L44" s="17" t="s">
        <v>25</v>
      </c>
      <c r="M44" s="16"/>
      <c r="N44" s="18"/>
      <c r="O44" s="17"/>
      <c r="P44" s="16"/>
    </row>
    <row r="45" spans="1:16" x14ac:dyDescent="0.25">
      <c r="A45" s="14" t="s">
        <v>251</v>
      </c>
      <c r="B45" s="15" t="s">
        <v>226</v>
      </c>
      <c r="C45" s="15" t="s">
        <v>227</v>
      </c>
      <c r="D45" s="15" t="s">
        <v>252</v>
      </c>
      <c r="E45" s="15" t="s">
        <v>247</v>
      </c>
      <c r="F45" s="15" t="s">
        <v>253</v>
      </c>
      <c r="G45" s="15" t="s">
        <v>254</v>
      </c>
      <c r="H45" s="15" t="s">
        <v>255</v>
      </c>
      <c r="I45" s="14" t="s">
        <v>38</v>
      </c>
      <c r="J45" s="14" t="s">
        <v>44</v>
      </c>
      <c r="K45" s="16"/>
      <c r="L45" s="17" t="s">
        <v>25</v>
      </c>
      <c r="M45" s="16"/>
      <c r="N45" s="18"/>
      <c r="O45" s="17"/>
      <c r="P45" s="16"/>
    </row>
    <row r="46" spans="1:16" x14ac:dyDescent="0.25">
      <c r="A46" s="14" t="s">
        <v>256</v>
      </c>
      <c r="B46" s="15" t="s">
        <v>226</v>
      </c>
      <c r="C46" s="15" t="s">
        <v>227</v>
      </c>
      <c r="D46" s="15" t="s">
        <v>257</v>
      </c>
      <c r="E46" s="15" t="s">
        <v>247</v>
      </c>
      <c r="F46" s="15" t="s">
        <v>258</v>
      </c>
      <c r="G46" s="15" t="s">
        <v>259</v>
      </c>
      <c r="H46" s="15" t="s">
        <v>260</v>
      </c>
      <c r="I46" s="14" t="s">
        <v>38</v>
      </c>
      <c r="J46" s="14" t="s">
        <v>44</v>
      </c>
      <c r="K46" s="16"/>
      <c r="L46" s="17" t="s">
        <v>25</v>
      </c>
      <c r="M46" s="16"/>
      <c r="N46" s="18"/>
      <c r="O46" s="17"/>
      <c r="P46" s="16"/>
    </row>
    <row r="47" spans="1:16" x14ac:dyDescent="0.25">
      <c r="A47" s="14" t="s">
        <v>261</v>
      </c>
      <c r="B47" s="15" t="s">
        <v>226</v>
      </c>
      <c r="C47" s="15" t="s">
        <v>227</v>
      </c>
      <c r="D47" s="15" t="s">
        <v>262</v>
      </c>
      <c r="E47" s="15" t="s">
        <v>247</v>
      </c>
      <c r="F47" s="15" t="s">
        <v>263</v>
      </c>
      <c r="G47" s="15" t="s">
        <v>120</v>
      </c>
      <c r="H47" s="15" t="s">
        <v>264</v>
      </c>
      <c r="I47" s="14" t="s">
        <v>24</v>
      </c>
      <c r="J47" s="14" t="s">
        <v>2</v>
      </c>
      <c r="K47" s="16"/>
      <c r="L47" s="17" t="s">
        <v>25</v>
      </c>
      <c r="M47" s="16"/>
      <c r="N47" s="18"/>
      <c r="O47" s="17"/>
      <c r="P47" s="16"/>
    </row>
    <row r="48" spans="1:16" ht="25.5" x14ac:dyDescent="0.25">
      <c r="A48" s="14" t="s">
        <v>265</v>
      </c>
      <c r="B48" s="15" t="s">
        <v>226</v>
      </c>
      <c r="C48" s="15" t="s">
        <v>227</v>
      </c>
      <c r="D48" s="15" t="s">
        <v>266</v>
      </c>
      <c r="E48" s="15" t="s">
        <v>266</v>
      </c>
      <c r="F48" s="15" t="s">
        <v>267</v>
      </c>
      <c r="G48" s="15" t="s">
        <v>120</v>
      </c>
      <c r="H48" s="15" t="s">
        <v>268</v>
      </c>
      <c r="I48" s="14" t="s">
        <v>50</v>
      </c>
      <c r="J48" s="14" t="s">
        <v>172</v>
      </c>
      <c r="K48" s="16"/>
      <c r="L48" s="17" t="s">
        <v>25</v>
      </c>
      <c r="M48" s="16"/>
      <c r="N48" s="18"/>
      <c r="O48" s="17"/>
      <c r="P48" s="16"/>
    </row>
    <row r="49" spans="1:16" ht="25.5" x14ac:dyDescent="0.25">
      <c r="A49" s="14" t="s">
        <v>269</v>
      </c>
      <c r="B49" s="15" t="s">
        <v>226</v>
      </c>
      <c r="C49" s="15" t="s">
        <v>227</v>
      </c>
      <c r="D49" s="15" t="s">
        <v>270</v>
      </c>
      <c r="E49" s="15" t="s">
        <v>271</v>
      </c>
      <c r="F49" s="15" t="s">
        <v>272</v>
      </c>
      <c r="G49" s="15" t="s">
        <v>120</v>
      </c>
      <c r="H49" s="15" t="s">
        <v>273</v>
      </c>
      <c r="I49" s="14" t="s">
        <v>24</v>
      </c>
      <c r="J49" s="14" t="s">
        <v>2</v>
      </c>
      <c r="K49" s="16"/>
      <c r="L49" s="17" t="s">
        <v>25</v>
      </c>
      <c r="M49" s="16"/>
      <c r="N49" s="18"/>
      <c r="O49" s="17"/>
      <c r="P49" s="16"/>
    </row>
    <row r="50" spans="1:16" x14ac:dyDescent="0.25">
      <c r="A50" s="14" t="s">
        <v>274</v>
      </c>
      <c r="B50" s="15" t="s">
        <v>226</v>
      </c>
      <c r="C50" s="15" t="s">
        <v>227</v>
      </c>
      <c r="D50" s="15" t="s">
        <v>275</v>
      </c>
      <c r="E50" s="15" t="s">
        <v>247</v>
      </c>
      <c r="F50" s="15" t="s">
        <v>276</v>
      </c>
      <c r="G50" s="15" t="s">
        <v>120</v>
      </c>
      <c r="H50" s="15" t="s">
        <v>277</v>
      </c>
      <c r="I50" s="14" t="s">
        <v>38</v>
      </c>
      <c r="J50" s="14" t="s">
        <v>2</v>
      </c>
      <c r="K50" s="16"/>
      <c r="L50" s="17" t="s">
        <v>25</v>
      </c>
      <c r="M50" s="16"/>
      <c r="N50" s="18"/>
      <c r="O50" s="17"/>
      <c r="P50" s="16"/>
    </row>
    <row r="51" spans="1:16" ht="51" x14ac:dyDescent="0.25">
      <c r="A51" s="14" t="s">
        <v>278</v>
      </c>
      <c r="B51" s="15" t="s">
        <v>279</v>
      </c>
      <c r="C51" s="15" t="s">
        <v>280</v>
      </c>
      <c r="D51" s="15" t="s">
        <v>281</v>
      </c>
      <c r="E51" s="15" t="s">
        <v>282</v>
      </c>
      <c r="F51" s="15" t="s">
        <v>283</v>
      </c>
      <c r="G51" s="15" t="s">
        <v>284</v>
      </c>
      <c r="H51" s="15" t="s">
        <v>285</v>
      </c>
      <c r="I51" s="14" t="s">
        <v>24</v>
      </c>
      <c r="J51" s="14" t="s">
        <v>2</v>
      </c>
      <c r="K51" s="16"/>
      <c r="L51" s="17" t="s">
        <v>25</v>
      </c>
      <c r="M51" s="16"/>
      <c r="N51" s="18"/>
      <c r="O51" s="17"/>
      <c r="P51" s="16"/>
    </row>
    <row r="52" spans="1:16" ht="38.25" x14ac:dyDescent="0.25">
      <c r="A52" s="14" t="s">
        <v>286</v>
      </c>
      <c r="B52" s="15" t="s">
        <v>279</v>
      </c>
      <c r="C52" s="15" t="s">
        <v>280</v>
      </c>
      <c r="D52" s="15" t="s">
        <v>287</v>
      </c>
      <c r="E52" s="15" t="s">
        <v>288</v>
      </c>
      <c r="F52" s="15" t="s">
        <v>289</v>
      </c>
      <c r="G52" s="15" t="s">
        <v>290</v>
      </c>
      <c r="H52" s="15" t="s">
        <v>291</v>
      </c>
      <c r="I52" s="14" t="s">
        <v>24</v>
      </c>
      <c r="J52" s="14" t="s">
        <v>2</v>
      </c>
      <c r="K52" s="16"/>
      <c r="L52" s="17" t="s">
        <v>25</v>
      </c>
      <c r="M52" s="16"/>
      <c r="N52" s="18"/>
      <c r="O52" s="17"/>
      <c r="P52" s="16"/>
    </row>
    <row r="53" spans="1:16" ht="25.5" x14ac:dyDescent="0.25">
      <c r="A53" s="14" t="s">
        <v>292</v>
      </c>
      <c r="B53" s="15" t="s">
        <v>279</v>
      </c>
      <c r="C53" s="15" t="s">
        <v>280</v>
      </c>
      <c r="D53" s="15" t="s">
        <v>293</v>
      </c>
      <c r="E53" s="15" t="s">
        <v>288</v>
      </c>
      <c r="F53" s="15" t="s">
        <v>294</v>
      </c>
      <c r="G53" s="15" t="s">
        <v>295</v>
      </c>
      <c r="H53" s="15" t="s">
        <v>296</v>
      </c>
      <c r="I53" s="14" t="s">
        <v>24</v>
      </c>
      <c r="J53" s="14" t="s">
        <v>2</v>
      </c>
      <c r="K53" s="16"/>
      <c r="L53" s="17" t="s">
        <v>25</v>
      </c>
      <c r="M53" s="16"/>
      <c r="N53" s="18"/>
      <c r="O53" s="17"/>
      <c r="P53" s="16"/>
    </row>
    <row r="54" spans="1:16" ht="25.5" x14ac:dyDescent="0.25">
      <c r="A54" s="14" t="s">
        <v>297</v>
      </c>
      <c r="B54" s="15" t="s">
        <v>279</v>
      </c>
      <c r="C54" s="15" t="s">
        <v>280</v>
      </c>
      <c r="D54" s="15" t="s">
        <v>298</v>
      </c>
      <c r="E54" s="15" t="s">
        <v>299</v>
      </c>
      <c r="F54" s="15" t="s">
        <v>300</v>
      </c>
      <c r="G54" s="15" t="s">
        <v>120</v>
      </c>
      <c r="H54" s="15" t="s">
        <v>301</v>
      </c>
      <c r="I54" s="14" t="s">
        <v>24</v>
      </c>
      <c r="J54" s="14" t="s">
        <v>32</v>
      </c>
      <c r="K54" s="16"/>
      <c r="L54" s="17" t="s">
        <v>25</v>
      </c>
      <c r="M54" s="16"/>
      <c r="N54" s="18"/>
      <c r="O54" s="17"/>
      <c r="P54" s="16"/>
    </row>
    <row r="55" spans="1:16" ht="25.5" x14ac:dyDescent="0.25">
      <c r="A55" s="14" t="s">
        <v>302</v>
      </c>
      <c r="B55" s="15" t="s">
        <v>279</v>
      </c>
      <c r="C55" s="15" t="s">
        <v>280</v>
      </c>
      <c r="D55" s="15" t="s">
        <v>303</v>
      </c>
      <c r="E55" s="15" t="s">
        <v>247</v>
      </c>
      <c r="F55" s="15" t="s">
        <v>304</v>
      </c>
      <c r="G55" s="15" t="s">
        <v>120</v>
      </c>
      <c r="H55" s="15" t="s">
        <v>305</v>
      </c>
      <c r="I55" s="14" t="s">
        <v>38</v>
      </c>
      <c r="J55" s="14" t="s">
        <v>32</v>
      </c>
      <c r="K55" s="16"/>
      <c r="L55" s="17" t="s">
        <v>25</v>
      </c>
      <c r="M55" s="16"/>
      <c r="N55" s="18"/>
      <c r="O55" s="17"/>
      <c r="P55" s="16"/>
    </row>
    <row r="56" spans="1:16" ht="25.5" x14ac:dyDescent="0.25">
      <c r="A56" s="14" t="s">
        <v>306</v>
      </c>
      <c r="B56" s="15" t="s">
        <v>279</v>
      </c>
      <c r="C56" s="15" t="s">
        <v>280</v>
      </c>
      <c r="D56" s="15" t="s">
        <v>307</v>
      </c>
      <c r="E56" s="15" t="s">
        <v>308</v>
      </c>
      <c r="F56" s="15" t="s">
        <v>309</v>
      </c>
      <c r="G56" s="15" t="s">
        <v>120</v>
      </c>
      <c r="H56" s="15" t="s">
        <v>310</v>
      </c>
      <c r="I56" s="14" t="s">
        <v>38</v>
      </c>
      <c r="J56" s="14" t="s">
        <v>32</v>
      </c>
      <c r="K56" s="16"/>
      <c r="L56" s="17" t="s">
        <v>25</v>
      </c>
      <c r="M56" s="16"/>
      <c r="N56" s="18"/>
      <c r="O56" s="17"/>
      <c r="P56" s="16"/>
    </row>
    <row r="57" spans="1:16" ht="25.5" x14ac:dyDescent="0.25">
      <c r="A57" s="14" t="s">
        <v>311</v>
      </c>
      <c r="B57" s="15" t="s">
        <v>279</v>
      </c>
      <c r="C57" s="15" t="s">
        <v>280</v>
      </c>
      <c r="D57" s="15" t="s">
        <v>312</v>
      </c>
      <c r="E57" s="15" t="s">
        <v>247</v>
      </c>
      <c r="F57" s="15" t="s">
        <v>313</v>
      </c>
      <c r="G57" s="15" t="s">
        <v>314</v>
      </c>
      <c r="H57" s="15" t="s">
        <v>315</v>
      </c>
      <c r="I57" s="14" t="s">
        <v>50</v>
      </c>
      <c r="J57" s="14" t="s">
        <v>44</v>
      </c>
      <c r="K57" s="16"/>
      <c r="L57" s="17" t="s">
        <v>25</v>
      </c>
      <c r="M57" s="16"/>
      <c r="N57" s="18"/>
      <c r="O57" s="17"/>
      <c r="P57" s="16"/>
    </row>
    <row r="58" spans="1:16" ht="38.25" x14ac:dyDescent="0.25">
      <c r="A58" s="14" t="s">
        <v>316</v>
      </c>
      <c r="B58" s="15" t="s">
        <v>279</v>
      </c>
      <c r="C58" s="15" t="s">
        <v>280</v>
      </c>
      <c r="D58" s="15" t="s">
        <v>317</v>
      </c>
      <c r="E58" s="15" t="s">
        <v>318</v>
      </c>
      <c r="F58" s="15" t="s">
        <v>319</v>
      </c>
      <c r="G58" s="15" t="s">
        <v>120</v>
      </c>
      <c r="H58" s="15" t="s">
        <v>320</v>
      </c>
      <c r="I58" s="14" t="s">
        <v>24</v>
      </c>
      <c r="J58" s="14" t="s">
        <v>2</v>
      </c>
      <c r="K58" s="16"/>
      <c r="L58" s="17" t="s">
        <v>25</v>
      </c>
      <c r="M58" s="16"/>
      <c r="N58" s="18"/>
      <c r="O58" s="17"/>
      <c r="P58" s="16"/>
    </row>
    <row r="59" spans="1:16" ht="25.5" x14ac:dyDescent="0.25">
      <c r="A59" s="14" t="s">
        <v>321</v>
      </c>
      <c r="B59" s="15" t="s">
        <v>279</v>
      </c>
      <c r="C59" s="15" t="s">
        <v>280</v>
      </c>
      <c r="D59" s="15" t="s">
        <v>322</v>
      </c>
      <c r="E59" s="15" t="s">
        <v>318</v>
      </c>
      <c r="F59" s="15" t="s">
        <v>323</v>
      </c>
      <c r="G59" s="15" t="s">
        <v>120</v>
      </c>
      <c r="H59" s="15" t="s">
        <v>324</v>
      </c>
      <c r="I59" s="14" t="s">
        <v>24</v>
      </c>
      <c r="J59" s="14" t="s">
        <v>2</v>
      </c>
      <c r="K59" s="16"/>
      <c r="L59" s="17" t="s">
        <v>25</v>
      </c>
      <c r="M59" s="16"/>
      <c r="N59" s="18"/>
      <c r="O59" s="17"/>
      <c r="P59" s="16"/>
    </row>
    <row r="60" spans="1:16" ht="25.5" x14ac:dyDescent="0.25">
      <c r="A60" s="14" t="s">
        <v>325</v>
      </c>
      <c r="B60" s="15" t="s">
        <v>279</v>
      </c>
      <c r="C60" s="15" t="s">
        <v>280</v>
      </c>
      <c r="D60" s="15" t="s">
        <v>326</v>
      </c>
      <c r="E60" s="15" t="s">
        <v>327</v>
      </c>
      <c r="F60" s="15" t="s">
        <v>328</v>
      </c>
      <c r="G60" s="15" t="s">
        <v>249</v>
      </c>
      <c r="H60" s="15" t="s">
        <v>329</v>
      </c>
      <c r="I60" s="14" t="s">
        <v>24</v>
      </c>
      <c r="J60" s="14" t="s">
        <v>44</v>
      </c>
      <c r="K60" s="16"/>
      <c r="L60" s="17" t="s">
        <v>25</v>
      </c>
      <c r="M60" s="16"/>
      <c r="N60" s="18"/>
      <c r="O60" s="17"/>
      <c r="P60" s="16"/>
    </row>
    <row r="61" spans="1:16" x14ac:dyDescent="0.25">
      <c r="A61" s="14" t="s">
        <v>330</v>
      </c>
      <c r="B61" s="15" t="s">
        <v>279</v>
      </c>
      <c r="C61" s="15" t="s">
        <v>280</v>
      </c>
      <c r="D61" s="15" t="s">
        <v>331</v>
      </c>
      <c r="E61" s="15" t="s">
        <v>332</v>
      </c>
      <c r="F61" s="15" t="s">
        <v>333</v>
      </c>
      <c r="G61" s="15" t="s">
        <v>249</v>
      </c>
      <c r="H61" s="15" t="s">
        <v>334</v>
      </c>
      <c r="I61" s="14" t="s">
        <v>24</v>
      </c>
      <c r="J61" s="14" t="s">
        <v>2</v>
      </c>
      <c r="K61" s="16"/>
      <c r="L61" s="17" t="s">
        <v>25</v>
      </c>
      <c r="M61" s="16"/>
      <c r="N61" s="18"/>
      <c r="O61" s="17"/>
      <c r="P61" s="16"/>
    </row>
    <row r="62" spans="1:16" ht="25.5" x14ac:dyDescent="0.25">
      <c r="A62" s="14" t="s">
        <v>335</v>
      </c>
      <c r="B62" s="15" t="s">
        <v>279</v>
      </c>
      <c r="C62" s="15" t="s">
        <v>280</v>
      </c>
      <c r="D62" s="15" t="s">
        <v>336</v>
      </c>
      <c r="E62" s="15" t="s">
        <v>337</v>
      </c>
      <c r="F62" s="15" t="s">
        <v>338</v>
      </c>
      <c r="G62" s="15" t="s">
        <v>120</v>
      </c>
      <c r="H62" s="15" t="s">
        <v>339</v>
      </c>
      <c r="I62" s="14" t="s">
        <v>38</v>
      </c>
      <c r="J62" s="14" t="s">
        <v>32</v>
      </c>
      <c r="K62" s="16"/>
      <c r="L62" s="17" t="s">
        <v>25</v>
      </c>
      <c r="M62" s="16"/>
      <c r="N62" s="18"/>
      <c r="O62" s="17"/>
      <c r="P62" s="16"/>
    </row>
    <row r="63" spans="1:16" x14ac:dyDescent="0.25">
      <c r="A63" s="14" t="s">
        <v>340</v>
      </c>
      <c r="B63" s="15" t="s">
        <v>279</v>
      </c>
      <c r="C63" s="15" t="s">
        <v>280</v>
      </c>
      <c r="D63" s="15" t="s">
        <v>341</v>
      </c>
      <c r="E63" s="15" t="s">
        <v>247</v>
      </c>
      <c r="F63" s="15" t="s">
        <v>342</v>
      </c>
      <c r="G63" s="15" t="s">
        <v>120</v>
      </c>
      <c r="H63" s="15" t="s">
        <v>343</v>
      </c>
      <c r="I63" s="14" t="s">
        <v>24</v>
      </c>
      <c r="J63" s="14" t="s">
        <v>32</v>
      </c>
      <c r="K63" s="16"/>
      <c r="L63" s="17" t="s">
        <v>25</v>
      </c>
      <c r="M63" s="16"/>
      <c r="N63" s="18"/>
      <c r="O63" s="17"/>
      <c r="P63" s="16"/>
    </row>
    <row r="64" spans="1:16" ht="25.5" x14ac:dyDescent="0.25">
      <c r="A64" s="14" t="s">
        <v>344</v>
      </c>
      <c r="B64" s="15" t="s">
        <v>279</v>
      </c>
      <c r="C64" s="15" t="s">
        <v>280</v>
      </c>
      <c r="D64" s="15" t="s">
        <v>345</v>
      </c>
      <c r="E64" s="15" t="s">
        <v>346</v>
      </c>
      <c r="F64" s="15" t="s">
        <v>347</v>
      </c>
      <c r="G64" s="15" t="s">
        <v>120</v>
      </c>
      <c r="H64" s="15" t="s">
        <v>348</v>
      </c>
      <c r="I64" s="14" t="s">
        <v>24</v>
      </c>
      <c r="J64" s="14" t="s">
        <v>103</v>
      </c>
      <c r="K64" s="16"/>
      <c r="L64" s="17" t="s">
        <v>25</v>
      </c>
      <c r="M64" s="16"/>
      <c r="N64" s="18"/>
      <c r="O64" s="17"/>
      <c r="P64" s="16"/>
    </row>
    <row r="65" spans="1:16" ht="25.5" x14ac:dyDescent="0.25">
      <c r="A65" s="14" t="s">
        <v>349</v>
      </c>
      <c r="B65" s="15" t="s">
        <v>279</v>
      </c>
      <c r="C65" s="15" t="s">
        <v>280</v>
      </c>
      <c r="D65" s="15" t="s">
        <v>350</v>
      </c>
      <c r="E65" s="15" t="s">
        <v>266</v>
      </c>
      <c r="F65" s="15" t="s">
        <v>351</v>
      </c>
      <c r="G65" s="15" t="s">
        <v>120</v>
      </c>
      <c r="H65" s="15" t="s">
        <v>352</v>
      </c>
      <c r="I65" s="14" t="s">
        <v>38</v>
      </c>
      <c r="J65" s="14" t="s">
        <v>32</v>
      </c>
      <c r="K65" s="16"/>
      <c r="L65" s="17" t="s">
        <v>25</v>
      </c>
      <c r="M65" s="16"/>
      <c r="N65" s="18"/>
      <c r="O65" s="17"/>
      <c r="P65" s="16"/>
    </row>
    <row r="66" spans="1:16" ht="38.25" x14ac:dyDescent="0.25">
      <c r="A66" s="14" t="s">
        <v>353</v>
      </c>
      <c r="B66" s="15" t="s">
        <v>279</v>
      </c>
      <c r="C66" s="15" t="s">
        <v>354</v>
      </c>
      <c r="D66" s="15" t="s">
        <v>355</v>
      </c>
      <c r="E66" s="15" t="s">
        <v>356</v>
      </c>
      <c r="F66" s="15" t="s">
        <v>357</v>
      </c>
      <c r="G66" s="15" t="s">
        <v>358</v>
      </c>
      <c r="H66" s="15" t="s">
        <v>359</v>
      </c>
      <c r="I66" s="14" t="s">
        <v>24</v>
      </c>
      <c r="J66" s="14" t="s">
        <v>2</v>
      </c>
      <c r="K66" s="16"/>
      <c r="L66" s="17" t="s">
        <v>25</v>
      </c>
      <c r="M66" s="16"/>
      <c r="N66" s="18"/>
      <c r="O66" s="17"/>
      <c r="P66" s="16"/>
    </row>
    <row r="67" spans="1:16" ht="25.5" x14ac:dyDescent="0.25">
      <c r="A67" s="14" t="s">
        <v>360</v>
      </c>
      <c r="B67" s="15" t="s">
        <v>279</v>
      </c>
      <c r="C67" s="15" t="s">
        <v>354</v>
      </c>
      <c r="D67" s="15" t="s">
        <v>361</v>
      </c>
      <c r="E67" s="15" t="s">
        <v>362</v>
      </c>
      <c r="F67" s="15" t="s">
        <v>363</v>
      </c>
      <c r="G67" s="15" t="s">
        <v>364</v>
      </c>
      <c r="H67" s="15" t="s">
        <v>365</v>
      </c>
      <c r="I67" s="14" t="s">
        <v>24</v>
      </c>
      <c r="J67" s="14" t="s">
        <v>44</v>
      </c>
      <c r="K67" s="16"/>
      <c r="L67" s="17" t="s">
        <v>25</v>
      </c>
      <c r="M67" s="16"/>
      <c r="N67" s="18"/>
      <c r="O67" s="17"/>
      <c r="P67" s="16"/>
    </row>
    <row r="68" spans="1:16" ht="25.5" x14ac:dyDescent="0.25">
      <c r="A68" s="14" t="s">
        <v>366</v>
      </c>
      <c r="B68" s="15" t="s">
        <v>279</v>
      </c>
      <c r="C68" s="15" t="s">
        <v>354</v>
      </c>
      <c r="D68" s="15" t="s">
        <v>367</v>
      </c>
      <c r="E68" s="15" t="s">
        <v>368</v>
      </c>
      <c r="F68" s="15" t="s">
        <v>369</v>
      </c>
      <c r="G68" s="15" t="s">
        <v>370</v>
      </c>
      <c r="H68" s="15" t="s">
        <v>371</v>
      </c>
      <c r="I68" s="14" t="s">
        <v>38</v>
      </c>
      <c r="J68" s="14" t="s">
        <v>2</v>
      </c>
      <c r="K68" s="16"/>
      <c r="L68" s="17" t="s">
        <v>25</v>
      </c>
      <c r="M68" s="16"/>
      <c r="N68" s="18"/>
      <c r="O68" s="17"/>
      <c r="P68" s="16"/>
    </row>
    <row r="69" spans="1:16" ht="25.5" x14ac:dyDescent="0.25">
      <c r="A69" s="14" t="s">
        <v>372</v>
      </c>
      <c r="B69" s="15" t="s">
        <v>279</v>
      </c>
      <c r="C69" s="15" t="s">
        <v>354</v>
      </c>
      <c r="D69" s="15" t="s">
        <v>373</v>
      </c>
      <c r="E69" s="15" t="s">
        <v>374</v>
      </c>
      <c r="F69" s="15" t="s">
        <v>375</v>
      </c>
      <c r="G69" s="15" t="s">
        <v>370</v>
      </c>
      <c r="H69" s="15" t="s">
        <v>376</v>
      </c>
      <c r="I69" s="14" t="s">
        <v>38</v>
      </c>
      <c r="J69" s="14" t="s">
        <v>32</v>
      </c>
      <c r="K69" s="16"/>
      <c r="L69" s="17" t="s">
        <v>25</v>
      </c>
      <c r="M69" s="16"/>
      <c r="N69" s="18"/>
      <c r="O69" s="17"/>
      <c r="P69" s="16"/>
    </row>
    <row r="70" spans="1:16" ht="25.5" x14ac:dyDescent="0.25">
      <c r="A70" s="14" t="s">
        <v>377</v>
      </c>
      <c r="B70" s="15" t="s">
        <v>279</v>
      </c>
      <c r="C70" s="15" t="s">
        <v>354</v>
      </c>
      <c r="D70" s="15" t="s">
        <v>378</v>
      </c>
      <c r="E70" s="15" t="s">
        <v>379</v>
      </c>
      <c r="F70" s="15" t="s">
        <v>380</v>
      </c>
      <c r="G70" s="15" t="s">
        <v>120</v>
      </c>
      <c r="H70" s="15" t="s">
        <v>381</v>
      </c>
      <c r="I70" s="14" t="s">
        <v>24</v>
      </c>
      <c r="J70" s="14" t="s">
        <v>44</v>
      </c>
      <c r="K70" s="16"/>
      <c r="L70" s="17" t="s">
        <v>25</v>
      </c>
      <c r="M70" s="16"/>
      <c r="N70" s="18"/>
      <c r="O70" s="17"/>
      <c r="P70" s="16"/>
    </row>
    <row r="71" spans="1:16" ht="25.5" x14ac:dyDescent="0.25">
      <c r="A71" s="14" t="s">
        <v>382</v>
      </c>
      <c r="B71" s="15" t="s">
        <v>279</v>
      </c>
      <c r="C71" s="15" t="s">
        <v>354</v>
      </c>
      <c r="D71" s="15" t="s">
        <v>383</v>
      </c>
      <c r="E71" s="15" t="s">
        <v>120</v>
      </c>
      <c r="F71" s="15" t="s">
        <v>384</v>
      </c>
      <c r="G71" s="15" t="s">
        <v>385</v>
      </c>
      <c r="H71" s="15" t="s">
        <v>386</v>
      </c>
      <c r="I71" s="14" t="s">
        <v>24</v>
      </c>
      <c r="J71" s="14" t="s">
        <v>32</v>
      </c>
      <c r="K71" s="16"/>
      <c r="L71" s="17" t="s">
        <v>25</v>
      </c>
      <c r="M71" s="16"/>
      <c r="N71" s="18"/>
      <c r="O71" s="17"/>
      <c r="P71" s="16"/>
    </row>
    <row r="72" spans="1:16" x14ac:dyDescent="0.25">
      <c r="A72" s="14" t="s">
        <v>387</v>
      </c>
      <c r="B72" s="15" t="s">
        <v>279</v>
      </c>
      <c r="C72" s="15" t="s">
        <v>354</v>
      </c>
      <c r="D72" s="15" t="s">
        <v>388</v>
      </c>
      <c r="E72" s="15" t="s">
        <v>389</v>
      </c>
      <c r="F72" s="15" t="s">
        <v>390</v>
      </c>
      <c r="G72" s="15" t="s">
        <v>120</v>
      </c>
      <c r="H72" s="15" t="s">
        <v>391</v>
      </c>
      <c r="I72" s="14" t="s">
        <v>24</v>
      </c>
      <c r="J72" s="14" t="s">
        <v>32</v>
      </c>
      <c r="K72" s="16"/>
      <c r="L72" s="17" t="s">
        <v>25</v>
      </c>
      <c r="M72" s="16"/>
      <c r="N72" s="18"/>
      <c r="O72" s="17"/>
      <c r="P72" s="16"/>
    </row>
    <row r="73" spans="1:16" x14ac:dyDescent="0.25">
      <c r="A73" s="14" t="s">
        <v>392</v>
      </c>
      <c r="B73" s="15" t="s">
        <v>279</v>
      </c>
      <c r="C73" s="15" t="s">
        <v>354</v>
      </c>
      <c r="D73" s="15" t="s">
        <v>393</v>
      </c>
      <c r="E73" s="15" t="s">
        <v>394</v>
      </c>
      <c r="F73" s="15" t="s">
        <v>390</v>
      </c>
      <c r="G73" s="15" t="s">
        <v>120</v>
      </c>
      <c r="H73" s="15" t="s">
        <v>395</v>
      </c>
      <c r="I73" s="14" t="s">
        <v>38</v>
      </c>
      <c r="J73" s="14" t="s">
        <v>32</v>
      </c>
      <c r="K73" s="16"/>
      <c r="L73" s="17" t="s">
        <v>25</v>
      </c>
      <c r="M73" s="16"/>
      <c r="N73" s="18"/>
      <c r="O73" s="17"/>
      <c r="P73" s="16"/>
    </row>
    <row r="74" spans="1:16" ht="25.5" x14ac:dyDescent="0.25">
      <c r="A74" s="14" t="s">
        <v>396</v>
      </c>
      <c r="B74" s="15" t="s">
        <v>279</v>
      </c>
      <c r="C74" s="15" t="s">
        <v>354</v>
      </c>
      <c r="D74" s="15" t="s">
        <v>397</v>
      </c>
      <c r="E74" s="15" t="s">
        <v>398</v>
      </c>
      <c r="F74" s="15" t="s">
        <v>390</v>
      </c>
      <c r="G74" s="15" t="s">
        <v>120</v>
      </c>
      <c r="H74" s="15" t="s">
        <v>399</v>
      </c>
      <c r="I74" s="14" t="s">
        <v>38</v>
      </c>
      <c r="J74" s="14" t="s">
        <v>32</v>
      </c>
      <c r="K74" s="16"/>
      <c r="L74" s="17" t="s">
        <v>25</v>
      </c>
      <c r="M74" s="16"/>
      <c r="N74" s="18"/>
      <c r="O74" s="17"/>
      <c r="P74" s="16"/>
    </row>
    <row r="75" spans="1:16" ht="25.5" x14ac:dyDescent="0.25">
      <c r="A75" s="14" t="s">
        <v>400</v>
      </c>
      <c r="B75" s="15" t="s">
        <v>279</v>
      </c>
      <c r="C75" s="15" t="s">
        <v>354</v>
      </c>
      <c r="D75" s="15" t="s">
        <v>401</v>
      </c>
      <c r="E75" s="15" t="s">
        <v>402</v>
      </c>
      <c r="F75" s="15" t="s">
        <v>403</v>
      </c>
      <c r="G75" s="15" t="s">
        <v>120</v>
      </c>
      <c r="H75" s="15" t="s">
        <v>404</v>
      </c>
      <c r="I75" s="14" t="s">
        <v>24</v>
      </c>
      <c r="J75" s="14" t="s">
        <v>32</v>
      </c>
      <c r="K75" s="16"/>
      <c r="L75" s="17" t="s">
        <v>25</v>
      </c>
      <c r="M75" s="16"/>
      <c r="N75" s="18"/>
      <c r="O75" s="17"/>
      <c r="P75" s="16"/>
    </row>
    <row r="76" spans="1:16" ht="25.5" x14ac:dyDescent="0.25">
      <c r="A76" s="14" t="s">
        <v>405</v>
      </c>
      <c r="B76" s="15" t="s">
        <v>279</v>
      </c>
      <c r="C76" s="15" t="s">
        <v>354</v>
      </c>
      <c r="D76" s="15" t="s">
        <v>406</v>
      </c>
      <c r="E76" s="15" t="s">
        <v>407</v>
      </c>
      <c r="F76" s="15" t="s">
        <v>408</v>
      </c>
      <c r="G76" s="15" t="s">
        <v>120</v>
      </c>
      <c r="H76" s="15" t="s">
        <v>409</v>
      </c>
      <c r="I76" s="14" t="s">
        <v>38</v>
      </c>
      <c r="J76" s="14" t="s">
        <v>2</v>
      </c>
      <c r="K76" s="16"/>
      <c r="L76" s="17" t="s">
        <v>25</v>
      </c>
      <c r="M76" s="16"/>
      <c r="N76" s="18"/>
      <c r="O76" s="17"/>
      <c r="P76" s="16"/>
    </row>
    <row r="77" spans="1:16" ht="25.5" x14ac:dyDescent="0.25">
      <c r="A77" s="14" t="s">
        <v>410</v>
      </c>
      <c r="B77" s="15" t="s">
        <v>279</v>
      </c>
      <c r="C77" s="15" t="s">
        <v>354</v>
      </c>
      <c r="D77" s="15" t="s">
        <v>411</v>
      </c>
      <c r="E77" s="15" t="s">
        <v>120</v>
      </c>
      <c r="F77" s="15" t="s">
        <v>412</v>
      </c>
      <c r="G77" s="15" t="s">
        <v>120</v>
      </c>
      <c r="H77" s="15" t="s">
        <v>413</v>
      </c>
      <c r="I77" s="14" t="s">
        <v>50</v>
      </c>
      <c r="J77" s="14" t="s">
        <v>2</v>
      </c>
      <c r="K77" s="16"/>
      <c r="L77" s="17" t="s">
        <v>25</v>
      </c>
      <c r="M77" s="16"/>
      <c r="N77" s="18"/>
      <c r="O77" s="17"/>
      <c r="P77" s="16"/>
    </row>
    <row r="78" spans="1:16" ht="38.25" x14ac:dyDescent="0.25">
      <c r="A78" s="14" t="s">
        <v>414</v>
      </c>
      <c r="B78" s="15" t="s">
        <v>415</v>
      </c>
      <c r="C78" s="15" t="s">
        <v>416</v>
      </c>
      <c r="D78" s="15" t="s">
        <v>417</v>
      </c>
      <c r="E78" s="15" t="s">
        <v>130</v>
      </c>
      <c r="F78" s="15" t="s">
        <v>418</v>
      </c>
      <c r="G78" s="15" t="s">
        <v>419</v>
      </c>
      <c r="H78" s="15" t="s">
        <v>420</v>
      </c>
      <c r="I78" s="14" t="s">
        <v>38</v>
      </c>
      <c r="J78" s="14" t="s">
        <v>2</v>
      </c>
      <c r="K78" s="16"/>
      <c r="L78" s="17" t="s">
        <v>25</v>
      </c>
      <c r="M78" s="16"/>
      <c r="N78" s="18"/>
      <c r="O78" s="17"/>
      <c r="P78" s="16"/>
    </row>
    <row r="79" spans="1:16" ht="25.5" x14ac:dyDescent="0.25">
      <c r="A79" s="14" t="s">
        <v>421</v>
      </c>
      <c r="B79" s="15" t="s">
        <v>415</v>
      </c>
      <c r="C79" s="15" t="s">
        <v>416</v>
      </c>
      <c r="D79" s="15" t="s">
        <v>422</v>
      </c>
      <c r="E79" s="15" t="s">
        <v>130</v>
      </c>
      <c r="F79" s="15" t="s">
        <v>423</v>
      </c>
      <c r="G79" s="15" t="s">
        <v>120</v>
      </c>
      <c r="H79" s="15" t="s">
        <v>424</v>
      </c>
      <c r="I79" s="14" t="s">
        <v>24</v>
      </c>
      <c r="J79" s="14" t="s">
        <v>2</v>
      </c>
      <c r="K79" s="16"/>
      <c r="L79" s="17" t="s">
        <v>25</v>
      </c>
      <c r="M79" s="16"/>
      <c r="N79" s="18"/>
      <c r="O79" s="17"/>
      <c r="P79" s="16"/>
    </row>
    <row r="80" spans="1:16" ht="25.5" x14ac:dyDescent="0.25">
      <c r="A80" s="14" t="s">
        <v>425</v>
      </c>
      <c r="B80" s="15" t="s">
        <v>415</v>
      </c>
      <c r="C80" s="15" t="s">
        <v>416</v>
      </c>
      <c r="D80" s="15" t="s">
        <v>426</v>
      </c>
      <c r="E80" s="15" t="s">
        <v>130</v>
      </c>
      <c r="F80" s="15" t="s">
        <v>427</v>
      </c>
      <c r="G80" s="15" t="s">
        <v>120</v>
      </c>
      <c r="H80" s="15" t="s">
        <v>428</v>
      </c>
      <c r="I80" s="14" t="s">
        <v>24</v>
      </c>
      <c r="J80" s="14" t="s">
        <v>32</v>
      </c>
      <c r="K80" s="16"/>
      <c r="L80" s="17" t="s">
        <v>25</v>
      </c>
      <c r="M80" s="16"/>
      <c r="N80" s="18"/>
      <c r="O80" s="17"/>
      <c r="P80" s="16"/>
    </row>
    <row r="81" spans="1:16" ht="25.5" x14ac:dyDescent="0.25">
      <c r="A81" s="14" t="s">
        <v>429</v>
      </c>
      <c r="B81" s="15" t="s">
        <v>415</v>
      </c>
      <c r="C81" s="15" t="s">
        <v>416</v>
      </c>
      <c r="D81" s="15" t="s">
        <v>430</v>
      </c>
      <c r="E81" s="15" t="s">
        <v>130</v>
      </c>
      <c r="F81" s="15" t="s">
        <v>431</v>
      </c>
      <c r="G81" s="15" t="s">
        <v>120</v>
      </c>
      <c r="H81" s="15" t="s">
        <v>432</v>
      </c>
      <c r="I81" s="14" t="s">
        <v>38</v>
      </c>
      <c r="J81" s="14" t="s">
        <v>2</v>
      </c>
      <c r="K81" s="16"/>
      <c r="L81" s="17" t="s">
        <v>25</v>
      </c>
      <c r="M81" s="16"/>
      <c r="N81" s="18"/>
      <c r="O81" s="17"/>
      <c r="P81" s="16"/>
    </row>
    <row r="82" spans="1:16" ht="25.5" x14ac:dyDescent="0.25">
      <c r="A82" s="14" t="s">
        <v>433</v>
      </c>
      <c r="B82" s="15" t="s">
        <v>415</v>
      </c>
      <c r="C82" s="15" t="s">
        <v>416</v>
      </c>
      <c r="D82" s="15" t="s">
        <v>434</v>
      </c>
      <c r="E82" s="15" t="s">
        <v>130</v>
      </c>
      <c r="F82" s="15" t="s">
        <v>435</v>
      </c>
      <c r="G82" s="15" t="s">
        <v>436</v>
      </c>
      <c r="H82" s="15" t="s">
        <v>437</v>
      </c>
      <c r="I82" s="14" t="s">
        <v>24</v>
      </c>
      <c r="J82" s="14" t="s">
        <v>2</v>
      </c>
      <c r="K82" s="16"/>
      <c r="L82" s="17" t="s">
        <v>25</v>
      </c>
      <c r="M82" s="16"/>
      <c r="N82" s="18"/>
      <c r="O82" s="17"/>
      <c r="P82" s="16"/>
    </row>
    <row r="83" spans="1:16" ht="25.5" x14ac:dyDescent="0.25">
      <c r="A83" s="14" t="s">
        <v>438</v>
      </c>
      <c r="B83" s="15" t="s">
        <v>415</v>
      </c>
      <c r="C83" s="15" t="s">
        <v>416</v>
      </c>
      <c r="D83" s="15" t="s">
        <v>439</v>
      </c>
      <c r="E83" s="15" t="s">
        <v>440</v>
      </c>
      <c r="F83" s="15" t="s">
        <v>441</v>
      </c>
      <c r="G83" s="15" t="s">
        <v>120</v>
      </c>
      <c r="H83" s="15" t="s">
        <v>442</v>
      </c>
      <c r="I83" s="14" t="s">
        <v>38</v>
      </c>
      <c r="J83" s="14" t="s">
        <v>2</v>
      </c>
      <c r="K83" s="16"/>
      <c r="L83" s="17" t="s">
        <v>25</v>
      </c>
      <c r="M83" s="16"/>
      <c r="N83" s="18"/>
      <c r="O83" s="17"/>
      <c r="P83" s="16"/>
    </row>
    <row r="84" spans="1:16" ht="25.5" x14ac:dyDescent="0.25">
      <c r="A84" s="14" t="s">
        <v>443</v>
      </c>
      <c r="B84" s="15" t="s">
        <v>415</v>
      </c>
      <c r="C84" s="15" t="s">
        <v>416</v>
      </c>
      <c r="D84" s="15" t="s">
        <v>444</v>
      </c>
      <c r="E84" s="15" t="s">
        <v>445</v>
      </c>
      <c r="F84" s="15" t="s">
        <v>446</v>
      </c>
      <c r="G84" s="15" t="s">
        <v>120</v>
      </c>
      <c r="H84" s="15" t="s">
        <v>447</v>
      </c>
      <c r="I84" s="14" t="s">
        <v>50</v>
      </c>
      <c r="J84" s="14" t="s">
        <v>2</v>
      </c>
      <c r="K84" s="16"/>
      <c r="L84" s="17" t="s">
        <v>25</v>
      </c>
      <c r="M84" s="16"/>
      <c r="N84" s="18"/>
      <c r="O84" s="17"/>
      <c r="P84" s="16"/>
    </row>
    <row r="85" spans="1:16" ht="25.5" x14ac:dyDescent="0.25">
      <c r="A85" s="14" t="s">
        <v>448</v>
      </c>
      <c r="B85" s="15" t="s">
        <v>415</v>
      </c>
      <c r="C85" s="15" t="s">
        <v>416</v>
      </c>
      <c r="D85" s="15" t="s">
        <v>449</v>
      </c>
      <c r="E85" s="15" t="s">
        <v>346</v>
      </c>
      <c r="F85" s="15" t="s">
        <v>450</v>
      </c>
      <c r="G85" s="15" t="s">
        <v>120</v>
      </c>
      <c r="H85" s="15" t="s">
        <v>451</v>
      </c>
      <c r="I85" s="14" t="s">
        <v>24</v>
      </c>
      <c r="J85" s="14" t="s">
        <v>103</v>
      </c>
      <c r="K85" s="16"/>
      <c r="L85" s="17" t="s">
        <v>25</v>
      </c>
      <c r="M85" s="16"/>
      <c r="N85" s="18"/>
      <c r="O85" s="17"/>
      <c r="P85" s="16"/>
    </row>
    <row r="86" spans="1:16" ht="25.5" x14ac:dyDescent="0.25">
      <c r="A86" s="14" t="s">
        <v>452</v>
      </c>
      <c r="B86" s="15" t="s">
        <v>415</v>
      </c>
      <c r="C86" s="15" t="s">
        <v>416</v>
      </c>
      <c r="D86" s="15" t="s">
        <v>453</v>
      </c>
      <c r="E86" s="15" t="s">
        <v>454</v>
      </c>
      <c r="F86" s="15" t="s">
        <v>455</v>
      </c>
      <c r="G86" s="15" t="s">
        <v>120</v>
      </c>
      <c r="H86" s="15" t="s">
        <v>456</v>
      </c>
      <c r="I86" s="14" t="s">
        <v>38</v>
      </c>
      <c r="J86" s="14" t="s">
        <v>2</v>
      </c>
      <c r="K86" s="16"/>
      <c r="L86" s="17" t="s">
        <v>25</v>
      </c>
      <c r="M86" s="16"/>
      <c r="N86" s="18"/>
      <c r="O86" s="17"/>
      <c r="P86" s="16"/>
    </row>
    <row r="87" spans="1:16" ht="25.5" x14ac:dyDescent="0.25">
      <c r="A87" s="14" t="s">
        <v>457</v>
      </c>
      <c r="B87" s="15" t="s">
        <v>415</v>
      </c>
      <c r="C87" s="15" t="s">
        <v>458</v>
      </c>
      <c r="D87" s="15" t="s">
        <v>459</v>
      </c>
      <c r="E87" s="15" t="s">
        <v>460</v>
      </c>
      <c r="F87" s="15" t="s">
        <v>461</v>
      </c>
      <c r="G87" s="15" t="s">
        <v>120</v>
      </c>
      <c r="H87" s="15" t="s">
        <v>462</v>
      </c>
      <c r="I87" s="14" t="s">
        <v>24</v>
      </c>
      <c r="J87" s="14" t="s">
        <v>2</v>
      </c>
      <c r="K87" s="16"/>
      <c r="L87" s="17" t="s">
        <v>25</v>
      </c>
      <c r="M87" s="16"/>
      <c r="N87" s="18"/>
      <c r="O87" s="17"/>
      <c r="P87" s="16"/>
    </row>
    <row r="88" spans="1:16" x14ac:dyDescent="0.25">
      <c r="A88" s="14" t="s">
        <v>463</v>
      </c>
      <c r="B88" s="15" t="s">
        <v>415</v>
      </c>
      <c r="C88" s="15" t="s">
        <v>458</v>
      </c>
      <c r="D88" s="15" t="s">
        <v>464</v>
      </c>
      <c r="E88" s="15" t="s">
        <v>346</v>
      </c>
      <c r="F88" s="15" t="s">
        <v>465</v>
      </c>
      <c r="G88" s="15" t="s">
        <v>120</v>
      </c>
      <c r="H88" s="15" t="s">
        <v>466</v>
      </c>
      <c r="I88" s="14" t="s">
        <v>24</v>
      </c>
      <c r="J88" s="14" t="s">
        <v>103</v>
      </c>
      <c r="K88" s="16"/>
      <c r="L88" s="17" t="s">
        <v>25</v>
      </c>
      <c r="M88" s="16"/>
      <c r="N88" s="18"/>
      <c r="O88" s="17"/>
      <c r="P88" s="16"/>
    </row>
    <row r="89" spans="1:16" ht="38.25" x14ac:dyDescent="0.25">
      <c r="A89" s="14" t="s">
        <v>467</v>
      </c>
      <c r="B89" s="15" t="s">
        <v>415</v>
      </c>
      <c r="C89" s="15" t="s">
        <v>458</v>
      </c>
      <c r="D89" s="15" t="s">
        <v>468</v>
      </c>
      <c r="E89" s="15" t="s">
        <v>469</v>
      </c>
      <c r="F89" s="15" t="s">
        <v>470</v>
      </c>
      <c r="G89" s="15" t="s">
        <v>471</v>
      </c>
      <c r="H89" s="15" t="s">
        <v>472</v>
      </c>
      <c r="I89" s="14" t="s">
        <v>24</v>
      </c>
      <c r="J89" s="14" t="s">
        <v>2</v>
      </c>
      <c r="K89" s="16"/>
      <c r="L89" s="17" t="s">
        <v>25</v>
      </c>
      <c r="M89" s="16"/>
      <c r="N89" s="18"/>
      <c r="O89" s="17"/>
      <c r="P89" s="16"/>
    </row>
    <row r="90" spans="1:16" ht="25.5" x14ac:dyDescent="0.25">
      <c r="A90" s="14" t="s">
        <v>473</v>
      </c>
      <c r="B90" s="15" t="s">
        <v>415</v>
      </c>
      <c r="C90" s="15" t="s">
        <v>458</v>
      </c>
      <c r="D90" s="15" t="s">
        <v>474</v>
      </c>
      <c r="E90" s="15" t="s">
        <v>475</v>
      </c>
      <c r="F90" s="15" t="s">
        <v>476</v>
      </c>
      <c r="G90" s="15" t="s">
        <v>120</v>
      </c>
      <c r="H90" s="15" t="s">
        <v>477</v>
      </c>
      <c r="I90" s="14" t="s">
        <v>38</v>
      </c>
      <c r="J90" s="14" t="s">
        <v>32</v>
      </c>
      <c r="K90" s="16"/>
      <c r="L90" s="17" t="s">
        <v>25</v>
      </c>
      <c r="M90" s="16"/>
      <c r="N90" s="18"/>
      <c r="O90" s="17"/>
      <c r="P90" s="16"/>
    </row>
    <row r="91" spans="1:16" ht="25.5" x14ac:dyDescent="0.25">
      <c r="A91" s="14" t="s">
        <v>478</v>
      </c>
      <c r="B91" s="15" t="s">
        <v>415</v>
      </c>
      <c r="C91" s="15" t="s">
        <v>458</v>
      </c>
      <c r="D91" s="15" t="s">
        <v>479</v>
      </c>
      <c r="E91" s="15" t="s">
        <v>475</v>
      </c>
      <c r="F91" s="15" t="s">
        <v>480</v>
      </c>
      <c r="G91" s="15" t="s">
        <v>481</v>
      </c>
      <c r="H91" s="15" t="s">
        <v>482</v>
      </c>
      <c r="I91" s="14" t="s">
        <v>50</v>
      </c>
      <c r="J91" s="14" t="s">
        <v>44</v>
      </c>
      <c r="K91" s="16"/>
      <c r="L91" s="17" t="s">
        <v>25</v>
      </c>
      <c r="M91" s="16"/>
      <c r="N91" s="18"/>
      <c r="O91" s="17"/>
      <c r="P91" s="16"/>
    </row>
    <row r="92" spans="1:16" x14ac:dyDescent="0.25">
      <c r="A92" s="14" t="s">
        <v>483</v>
      </c>
      <c r="B92" s="15" t="s">
        <v>415</v>
      </c>
      <c r="C92" s="15" t="s">
        <v>458</v>
      </c>
      <c r="D92" s="15" t="s">
        <v>484</v>
      </c>
      <c r="E92" s="15" t="s">
        <v>485</v>
      </c>
      <c r="F92" s="15" t="s">
        <v>486</v>
      </c>
      <c r="G92" s="15" t="s">
        <v>120</v>
      </c>
      <c r="H92" s="15" t="s">
        <v>487</v>
      </c>
      <c r="I92" s="14" t="s">
        <v>24</v>
      </c>
      <c r="J92" s="14" t="s">
        <v>32</v>
      </c>
      <c r="K92" s="16"/>
      <c r="L92" s="17" t="s">
        <v>25</v>
      </c>
      <c r="M92" s="16"/>
      <c r="N92" s="18"/>
      <c r="O92" s="17"/>
      <c r="P92" s="16"/>
    </row>
    <row r="93" spans="1:16" x14ac:dyDescent="0.25">
      <c r="A93" s="14" t="s">
        <v>488</v>
      </c>
      <c r="B93" s="15" t="s">
        <v>415</v>
      </c>
      <c r="C93" s="15" t="s">
        <v>458</v>
      </c>
      <c r="D93" s="15" t="s">
        <v>489</v>
      </c>
      <c r="E93" s="15" t="s">
        <v>490</v>
      </c>
      <c r="F93" s="15" t="s">
        <v>491</v>
      </c>
      <c r="G93" s="15" t="s">
        <v>120</v>
      </c>
      <c r="H93" s="15" t="s">
        <v>492</v>
      </c>
      <c r="I93" s="14" t="s">
        <v>24</v>
      </c>
      <c r="J93" s="14" t="s">
        <v>32</v>
      </c>
      <c r="K93" s="16"/>
      <c r="L93" s="17" t="s">
        <v>25</v>
      </c>
      <c r="M93" s="16"/>
      <c r="N93" s="18"/>
      <c r="O93" s="17"/>
      <c r="P93" s="16"/>
    </row>
    <row r="94" spans="1:16" ht="38.25" x14ac:dyDescent="0.25">
      <c r="A94" s="14" t="s">
        <v>493</v>
      </c>
      <c r="B94" s="15" t="s">
        <v>415</v>
      </c>
      <c r="C94" s="15" t="s">
        <v>458</v>
      </c>
      <c r="D94" s="15" t="s">
        <v>494</v>
      </c>
      <c r="E94" s="15" t="s">
        <v>495</v>
      </c>
      <c r="F94" s="15" t="s">
        <v>496</v>
      </c>
      <c r="G94" s="15" t="s">
        <v>120</v>
      </c>
      <c r="H94" s="15" t="s">
        <v>497</v>
      </c>
      <c r="I94" s="14" t="s">
        <v>38</v>
      </c>
      <c r="J94" s="14" t="s">
        <v>2</v>
      </c>
      <c r="K94" s="16"/>
      <c r="L94" s="17" t="s">
        <v>25</v>
      </c>
      <c r="M94" s="16"/>
      <c r="N94" s="18"/>
      <c r="O94" s="17"/>
      <c r="P94" s="16"/>
    </row>
    <row r="95" spans="1:16" ht="38.25" x14ac:dyDescent="0.25">
      <c r="A95" s="14" t="s">
        <v>498</v>
      </c>
      <c r="B95" s="15" t="s">
        <v>415</v>
      </c>
      <c r="C95" s="15" t="s">
        <v>458</v>
      </c>
      <c r="D95" s="15" t="s">
        <v>499</v>
      </c>
      <c r="E95" s="15" t="s">
        <v>500</v>
      </c>
      <c r="F95" s="15" t="s">
        <v>501</v>
      </c>
      <c r="G95" s="15" t="s">
        <v>502</v>
      </c>
      <c r="H95" s="15" t="s">
        <v>503</v>
      </c>
      <c r="I95" s="14" t="s">
        <v>38</v>
      </c>
      <c r="J95" s="14" t="s">
        <v>2</v>
      </c>
      <c r="K95" s="16"/>
      <c r="L95" s="17" t="s">
        <v>25</v>
      </c>
      <c r="M95" s="16"/>
      <c r="N95" s="18"/>
      <c r="O95" s="17"/>
      <c r="P95" s="16"/>
    </row>
    <row r="96" spans="1:16" x14ac:dyDescent="0.25">
      <c r="A96" s="14" t="s">
        <v>504</v>
      </c>
      <c r="B96" s="15" t="s">
        <v>415</v>
      </c>
      <c r="C96" s="15" t="s">
        <v>458</v>
      </c>
      <c r="D96" s="15" t="s">
        <v>505</v>
      </c>
      <c r="E96" s="15" t="s">
        <v>475</v>
      </c>
      <c r="F96" s="15" t="s">
        <v>506</v>
      </c>
      <c r="G96" s="15" t="s">
        <v>120</v>
      </c>
      <c r="H96" s="15" t="s">
        <v>507</v>
      </c>
      <c r="I96" s="14" t="s">
        <v>38</v>
      </c>
      <c r="J96" s="14" t="s">
        <v>32</v>
      </c>
      <c r="K96" s="16"/>
      <c r="L96" s="17" t="s">
        <v>25</v>
      </c>
      <c r="M96" s="16"/>
      <c r="N96" s="18"/>
      <c r="O96" s="17"/>
      <c r="P96" s="16"/>
    </row>
    <row r="97" spans="1:16" ht="25.5" x14ac:dyDescent="0.25">
      <c r="A97" s="14" t="s">
        <v>508</v>
      </c>
      <c r="B97" s="15" t="s">
        <v>415</v>
      </c>
      <c r="C97" s="15" t="s">
        <v>458</v>
      </c>
      <c r="D97" s="15" t="s">
        <v>509</v>
      </c>
      <c r="E97" s="15" t="s">
        <v>510</v>
      </c>
      <c r="F97" s="15" t="s">
        <v>511</v>
      </c>
      <c r="G97" s="15" t="s">
        <v>120</v>
      </c>
      <c r="H97" s="15" t="s">
        <v>512</v>
      </c>
      <c r="I97" s="14" t="s">
        <v>50</v>
      </c>
      <c r="J97" s="14" t="s">
        <v>2</v>
      </c>
      <c r="K97" s="16"/>
      <c r="L97" s="17" t="s">
        <v>25</v>
      </c>
      <c r="M97" s="16"/>
      <c r="N97" s="18"/>
      <c r="O97" s="17"/>
      <c r="P97" s="16"/>
    </row>
    <row r="98" spans="1:16" ht="25.5" x14ac:dyDescent="0.25">
      <c r="A98" s="14" t="s">
        <v>513</v>
      </c>
      <c r="B98" s="15" t="s">
        <v>415</v>
      </c>
      <c r="C98" s="15" t="s">
        <v>514</v>
      </c>
      <c r="D98" s="15" t="s">
        <v>515</v>
      </c>
      <c r="E98" s="15" t="s">
        <v>516</v>
      </c>
      <c r="F98" s="15" t="s">
        <v>517</v>
      </c>
      <c r="G98" s="15" t="s">
        <v>518</v>
      </c>
      <c r="H98" s="15" t="s">
        <v>519</v>
      </c>
      <c r="I98" s="14" t="s">
        <v>50</v>
      </c>
      <c r="J98" s="14" t="s">
        <v>2</v>
      </c>
      <c r="K98" s="16"/>
      <c r="L98" s="17" t="s">
        <v>25</v>
      </c>
      <c r="M98" s="16"/>
      <c r="N98" s="18"/>
      <c r="O98" s="17"/>
      <c r="P98" s="16"/>
    </row>
    <row r="99" spans="1:16" x14ac:dyDescent="0.25">
      <c r="A99" s="14" t="s">
        <v>520</v>
      </c>
      <c r="B99" s="15" t="s">
        <v>415</v>
      </c>
      <c r="C99" s="15" t="s">
        <v>514</v>
      </c>
      <c r="D99" s="15" t="s">
        <v>521</v>
      </c>
      <c r="E99" s="15" t="s">
        <v>130</v>
      </c>
      <c r="F99" s="15" t="s">
        <v>522</v>
      </c>
      <c r="G99" s="15" t="s">
        <v>120</v>
      </c>
      <c r="H99" s="15" t="s">
        <v>523</v>
      </c>
      <c r="I99" s="14" t="s">
        <v>50</v>
      </c>
      <c r="J99" s="14" t="s">
        <v>103</v>
      </c>
      <c r="K99" s="16"/>
      <c r="L99" s="17" t="s">
        <v>25</v>
      </c>
      <c r="M99" s="16"/>
      <c r="N99" s="18"/>
      <c r="O99" s="17"/>
      <c r="P99" s="16"/>
    </row>
    <row r="100" spans="1:16" ht="25.5" x14ac:dyDescent="0.25">
      <c r="A100" s="14" t="s">
        <v>524</v>
      </c>
      <c r="B100" s="15" t="s">
        <v>415</v>
      </c>
      <c r="C100" s="15" t="s">
        <v>514</v>
      </c>
      <c r="D100" s="15" t="s">
        <v>525</v>
      </c>
      <c r="E100" s="15" t="s">
        <v>120</v>
      </c>
      <c r="F100" s="15" t="s">
        <v>526</v>
      </c>
      <c r="G100" s="15" t="s">
        <v>120</v>
      </c>
      <c r="H100" s="15" t="s">
        <v>527</v>
      </c>
      <c r="I100" s="14" t="s">
        <v>50</v>
      </c>
      <c r="J100" s="14" t="s">
        <v>2</v>
      </c>
      <c r="K100" s="16"/>
      <c r="L100" s="17" t="s">
        <v>25</v>
      </c>
      <c r="M100" s="16"/>
      <c r="N100" s="18"/>
      <c r="O100" s="17"/>
      <c r="P100" s="16"/>
    </row>
    <row r="101" spans="1:16" x14ac:dyDescent="0.25">
      <c r="A101" s="14" t="s">
        <v>528</v>
      </c>
      <c r="B101" s="15" t="s">
        <v>415</v>
      </c>
      <c r="C101" s="15" t="s">
        <v>514</v>
      </c>
      <c r="D101" s="15" t="s">
        <v>529</v>
      </c>
      <c r="E101" s="15" t="s">
        <v>120</v>
      </c>
      <c r="F101" s="15" t="s">
        <v>530</v>
      </c>
      <c r="G101" s="15" t="s">
        <v>120</v>
      </c>
      <c r="H101" s="15" t="s">
        <v>531</v>
      </c>
      <c r="I101" s="14" t="s">
        <v>50</v>
      </c>
      <c r="J101" s="14" t="s">
        <v>103</v>
      </c>
      <c r="K101" s="16"/>
      <c r="L101" s="17" t="s">
        <v>25</v>
      </c>
      <c r="M101" s="16"/>
      <c r="N101" s="18"/>
      <c r="O101" s="17"/>
      <c r="P101" s="16"/>
    </row>
    <row r="102" spans="1:16" ht="25.5" x14ac:dyDescent="0.25">
      <c r="A102" s="14" t="s">
        <v>532</v>
      </c>
      <c r="B102" s="15" t="s">
        <v>533</v>
      </c>
      <c r="C102" s="15" t="s">
        <v>534</v>
      </c>
      <c r="D102" s="15" t="s">
        <v>535</v>
      </c>
      <c r="E102" s="15" t="s">
        <v>536</v>
      </c>
      <c r="F102" s="15" t="s">
        <v>537</v>
      </c>
      <c r="G102" s="15" t="s">
        <v>120</v>
      </c>
      <c r="H102" s="15" t="s">
        <v>538</v>
      </c>
      <c r="I102" s="14" t="s">
        <v>24</v>
      </c>
      <c r="J102" s="14" t="s">
        <v>103</v>
      </c>
      <c r="K102" s="16"/>
      <c r="L102" s="17" t="s">
        <v>25</v>
      </c>
      <c r="M102" s="16"/>
      <c r="N102" s="18"/>
      <c r="O102" s="17"/>
      <c r="P102" s="16"/>
    </row>
    <row r="103" spans="1:16" ht="25.5" x14ac:dyDescent="0.25">
      <c r="A103" s="14" t="s">
        <v>539</v>
      </c>
      <c r="B103" s="15" t="s">
        <v>533</v>
      </c>
      <c r="C103" s="15" t="s">
        <v>534</v>
      </c>
      <c r="D103" s="15" t="s">
        <v>540</v>
      </c>
      <c r="E103" s="15" t="s">
        <v>541</v>
      </c>
      <c r="F103" s="15" t="s">
        <v>542</v>
      </c>
      <c r="G103" s="15" t="s">
        <v>120</v>
      </c>
      <c r="H103" s="15" t="s">
        <v>348</v>
      </c>
      <c r="I103" s="14" t="s">
        <v>24</v>
      </c>
      <c r="J103" s="14" t="s">
        <v>103</v>
      </c>
      <c r="K103" s="16"/>
      <c r="L103" s="17" t="s">
        <v>25</v>
      </c>
      <c r="M103" s="16"/>
      <c r="N103" s="18"/>
      <c r="O103" s="17"/>
      <c r="P103" s="16"/>
    </row>
    <row r="104" spans="1:16" ht="25.5" x14ac:dyDescent="0.25">
      <c r="A104" s="14" t="s">
        <v>543</v>
      </c>
      <c r="B104" s="15" t="s">
        <v>533</v>
      </c>
      <c r="C104" s="15" t="s">
        <v>534</v>
      </c>
      <c r="D104" s="15" t="s">
        <v>544</v>
      </c>
      <c r="E104" s="15" t="s">
        <v>475</v>
      </c>
      <c r="F104" s="15" t="s">
        <v>545</v>
      </c>
      <c r="G104" s="15" t="s">
        <v>120</v>
      </c>
      <c r="H104" s="15" t="s">
        <v>546</v>
      </c>
      <c r="I104" s="14" t="s">
        <v>24</v>
      </c>
      <c r="J104" s="14" t="s">
        <v>2</v>
      </c>
      <c r="K104" s="16"/>
      <c r="L104" s="17" t="s">
        <v>25</v>
      </c>
      <c r="M104" s="16"/>
      <c r="N104" s="18"/>
      <c r="O104" s="17"/>
      <c r="P104" s="16"/>
    </row>
    <row r="105" spans="1:16" ht="25.5" x14ac:dyDescent="0.25">
      <c r="A105" s="14" t="s">
        <v>547</v>
      </c>
      <c r="B105" s="15" t="s">
        <v>533</v>
      </c>
      <c r="C105" s="15" t="s">
        <v>534</v>
      </c>
      <c r="D105" s="15" t="s">
        <v>548</v>
      </c>
      <c r="E105" s="15" t="s">
        <v>475</v>
      </c>
      <c r="F105" s="15" t="s">
        <v>549</v>
      </c>
      <c r="G105" s="15" t="s">
        <v>120</v>
      </c>
      <c r="H105" s="15" t="s">
        <v>550</v>
      </c>
      <c r="I105" s="14" t="s">
        <v>24</v>
      </c>
      <c r="J105" s="14" t="s">
        <v>32</v>
      </c>
      <c r="K105" s="16"/>
      <c r="L105" s="17" t="s">
        <v>25</v>
      </c>
      <c r="M105" s="16"/>
      <c r="N105" s="18"/>
      <c r="O105" s="17"/>
      <c r="P105" s="16"/>
    </row>
    <row r="106" spans="1:16" ht="25.5" x14ac:dyDescent="0.25">
      <c r="A106" s="14" t="s">
        <v>551</v>
      </c>
      <c r="B106" s="15" t="s">
        <v>533</v>
      </c>
      <c r="C106" s="15" t="s">
        <v>534</v>
      </c>
      <c r="D106" s="15" t="s">
        <v>552</v>
      </c>
      <c r="E106" s="15" t="s">
        <v>553</v>
      </c>
      <c r="F106" s="15" t="s">
        <v>554</v>
      </c>
      <c r="G106" s="15" t="s">
        <v>120</v>
      </c>
      <c r="H106" s="15" t="s">
        <v>555</v>
      </c>
      <c r="I106" s="14" t="s">
        <v>24</v>
      </c>
      <c r="J106" s="14" t="s">
        <v>32</v>
      </c>
      <c r="K106" s="16"/>
      <c r="L106" s="17" t="s">
        <v>25</v>
      </c>
      <c r="M106" s="16"/>
      <c r="N106" s="18"/>
      <c r="O106" s="17"/>
      <c r="P106" s="16"/>
    </row>
    <row r="107" spans="1:16" ht="25.5" x14ac:dyDescent="0.25">
      <c r="A107" s="14" t="s">
        <v>556</v>
      </c>
      <c r="B107" s="15" t="s">
        <v>533</v>
      </c>
      <c r="C107" s="15" t="s">
        <v>534</v>
      </c>
      <c r="D107" s="15" t="s">
        <v>557</v>
      </c>
      <c r="E107" s="15" t="s">
        <v>558</v>
      </c>
      <c r="F107" s="15" t="s">
        <v>559</v>
      </c>
      <c r="G107" s="15" t="s">
        <v>120</v>
      </c>
      <c r="H107" s="15" t="s">
        <v>560</v>
      </c>
      <c r="I107" s="14" t="s">
        <v>24</v>
      </c>
      <c r="J107" s="14" t="s">
        <v>2</v>
      </c>
      <c r="K107" s="16"/>
      <c r="L107" s="17" t="s">
        <v>25</v>
      </c>
      <c r="M107" s="16"/>
      <c r="N107" s="18"/>
      <c r="O107" s="17"/>
      <c r="P107" s="16"/>
    </row>
    <row r="108" spans="1:16" ht="25.5" x14ac:dyDescent="0.25">
      <c r="A108" s="14" t="s">
        <v>561</v>
      </c>
      <c r="B108" s="15" t="s">
        <v>533</v>
      </c>
      <c r="C108" s="15" t="s">
        <v>534</v>
      </c>
      <c r="D108" s="15" t="s">
        <v>562</v>
      </c>
      <c r="E108" s="15" t="s">
        <v>563</v>
      </c>
      <c r="F108" s="15" t="s">
        <v>564</v>
      </c>
      <c r="G108" s="15" t="s">
        <v>120</v>
      </c>
      <c r="H108" s="15" t="s">
        <v>565</v>
      </c>
      <c r="I108" s="14" t="s">
        <v>38</v>
      </c>
      <c r="J108" s="14" t="s">
        <v>2</v>
      </c>
      <c r="K108" s="16"/>
      <c r="L108" s="17" t="s">
        <v>25</v>
      </c>
      <c r="M108" s="16"/>
      <c r="N108" s="18"/>
      <c r="O108" s="17"/>
      <c r="P108" s="16"/>
    </row>
    <row r="109" spans="1:16" x14ac:dyDescent="0.25">
      <c r="A109" s="14" t="s">
        <v>566</v>
      </c>
      <c r="B109" s="15" t="s">
        <v>533</v>
      </c>
      <c r="C109" s="15" t="s">
        <v>534</v>
      </c>
      <c r="D109" s="15" t="s">
        <v>567</v>
      </c>
      <c r="E109" s="15" t="s">
        <v>568</v>
      </c>
      <c r="F109" s="15" t="s">
        <v>569</v>
      </c>
      <c r="G109" s="15" t="s">
        <v>120</v>
      </c>
      <c r="H109" s="15" t="s">
        <v>570</v>
      </c>
      <c r="I109" s="14" t="s">
        <v>38</v>
      </c>
      <c r="J109" s="14" t="s">
        <v>2</v>
      </c>
      <c r="K109" s="16"/>
      <c r="L109" s="17" t="s">
        <v>25</v>
      </c>
      <c r="M109" s="16"/>
      <c r="N109" s="18"/>
      <c r="O109" s="17"/>
      <c r="P109" s="16"/>
    </row>
    <row r="110" spans="1:16" ht="25.5" x14ac:dyDescent="0.25">
      <c r="A110" s="14" t="s">
        <v>571</v>
      </c>
      <c r="B110" s="15" t="s">
        <v>533</v>
      </c>
      <c r="C110" s="15" t="s">
        <v>534</v>
      </c>
      <c r="D110" s="15" t="s">
        <v>572</v>
      </c>
      <c r="E110" s="15" t="s">
        <v>460</v>
      </c>
      <c r="F110" s="15" t="s">
        <v>573</v>
      </c>
      <c r="G110" s="15" t="s">
        <v>120</v>
      </c>
      <c r="H110" s="15" t="s">
        <v>574</v>
      </c>
      <c r="I110" s="14" t="s">
        <v>38</v>
      </c>
      <c r="J110" s="14" t="s">
        <v>2</v>
      </c>
      <c r="K110" s="16"/>
      <c r="L110" s="17" t="s">
        <v>25</v>
      </c>
      <c r="M110" s="16"/>
      <c r="N110" s="18"/>
      <c r="O110" s="17"/>
      <c r="P110" s="16"/>
    </row>
    <row r="111" spans="1:16" ht="25.5" x14ac:dyDescent="0.25">
      <c r="A111" s="14" t="s">
        <v>575</v>
      </c>
      <c r="B111" s="15" t="s">
        <v>533</v>
      </c>
      <c r="C111" s="15" t="s">
        <v>534</v>
      </c>
      <c r="D111" s="15" t="s">
        <v>576</v>
      </c>
      <c r="E111" s="15" t="s">
        <v>577</v>
      </c>
      <c r="F111" s="15" t="s">
        <v>578</v>
      </c>
      <c r="G111" s="15" t="s">
        <v>120</v>
      </c>
      <c r="H111" s="15" t="s">
        <v>579</v>
      </c>
      <c r="I111" s="14" t="s">
        <v>38</v>
      </c>
      <c r="J111" s="14" t="s">
        <v>32</v>
      </c>
      <c r="K111" s="16"/>
      <c r="L111" s="17" t="s">
        <v>25</v>
      </c>
      <c r="M111" s="16"/>
      <c r="N111" s="18"/>
      <c r="O111" s="17"/>
      <c r="P111" s="16"/>
    </row>
    <row r="112" spans="1:16" ht="38.25" x14ac:dyDescent="0.25">
      <c r="A112" s="14" t="s">
        <v>580</v>
      </c>
      <c r="B112" s="15" t="s">
        <v>533</v>
      </c>
      <c r="C112" s="15" t="s">
        <v>581</v>
      </c>
      <c r="D112" s="15" t="s">
        <v>582</v>
      </c>
      <c r="E112" s="15" t="s">
        <v>135</v>
      </c>
      <c r="F112" s="15" t="s">
        <v>583</v>
      </c>
      <c r="G112" s="15" t="s">
        <v>584</v>
      </c>
      <c r="H112" s="15" t="s">
        <v>585</v>
      </c>
      <c r="I112" s="14" t="s">
        <v>24</v>
      </c>
      <c r="J112" s="14" t="s">
        <v>2</v>
      </c>
      <c r="K112" s="16"/>
      <c r="L112" s="17" t="s">
        <v>25</v>
      </c>
      <c r="M112" s="16"/>
      <c r="N112" s="18"/>
      <c r="O112" s="17"/>
      <c r="P112" s="16"/>
    </row>
    <row r="113" spans="1:16" ht="25.5" x14ac:dyDescent="0.25">
      <c r="A113" s="14" t="s">
        <v>586</v>
      </c>
      <c r="B113" s="15" t="s">
        <v>533</v>
      </c>
      <c r="C113" s="15" t="s">
        <v>581</v>
      </c>
      <c r="D113" s="15" t="s">
        <v>587</v>
      </c>
      <c r="E113" s="15" t="s">
        <v>135</v>
      </c>
      <c r="F113" s="15" t="s">
        <v>588</v>
      </c>
      <c r="G113" s="15" t="s">
        <v>589</v>
      </c>
      <c r="H113" s="15" t="s">
        <v>590</v>
      </c>
      <c r="I113" s="14" t="s">
        <v>38</v>
      </c>
      <c r="J113" s="14" t="s">
        <v>44</v>
      </c>
      <c r="K113" s="16"/>
      <c r="L113" s="17" t="s">
        <v>25</v>
      </c>
      <c r="M113" s="16"/>
      <c r="N113" s="18"/>
      <c r="O113" s="17"/>
      <c r="P113" s="16"/>
    </row>
    <row r="114" spans="1:16" ht="25.5" x14ac:dyDescent="0.25">
      <c r="A114" s="14" t="s">
        <v>591</v>
      </c>
      <c r="B114" s="15" t="s">
        <v>533</v>
      </c>
      <c r="C114" s="15" t="s">
        <v>581</v>
      </c>
      <c r="D114" s="15" t="s">
        <v>592</v>
      </c>
      <c r="E114" s="15" t="s">
        <v>135</v>
      </c>
      <c r="F114" s="15" t="s">
        <v>593</v>
      </c>
      <c r="G114" s="15" t="s">
        <v>120</v>
      </c>
      <c r="H114" s="15" t="s">
        <v>594</v>
      </c>
      <c r="I114" s="14" t="s">
        <v>24</v>
      </c>
      <c r="J114" s="14" t="s">
        <v>2</v>
      </c>
      <c r="K114" s="16"/>
      <c r="L114" s="17" t="s">
        <v>25</v>
      </c>
      <c r="M114" s="16"/>
      <c r="N114" s="18"/>
      <c r="O114" s="17"/>
      <c r="P114" s="16"/>
    </row>
    <row r="115" spans="1:16" x14ac:dyDescent="0.25">
      <c r="A115" s="14" t="s">
        <v>595</v>
      </c>
      <c r="B115" s="15" t="s">
        <v>533</v>
      </c>
      <c r="C115" s="15" t="s">
        <v>581</v>
      </c>
      <c r="D115" s="15" t="s">
        <v>596</v>
      </c>
      <c r="E115" s="15" t="s">
        <v>135</v>
      </c>
      <c r="F115" s="15" t="s">
        <v>597</v>
      </c>
      <c r="G115" s="15" t="s">
        <v>598</v>
      </c>
      <c r="H115" s="15" t="s">
        <v>599</v>
      </c>
      <c r="I115" s="14" t="s">
        <v>24</v>
      </c>
      <c r="J115" s="14" t="s">
        <v>44</v>
      </c>
      <c r="K115" s="16"/>
      <c r="L115" s="17" t="s">
        <v>25</v>
      </c>
      <c r="M115" s="16"/>
      <c r="N115" s="18"/>
      <c r="O115" s="17"/>
      <c r="P115" s="16"/>
    </row>
    <row r="116" spans="1:16" ht="25.5" x14ac:dyDescent="0.25">
      <c r="A116" s="14" t="s">
        <v>600</v>
      </c>
      <c r="B116" s="15" t="s">
        <v>533</v>
      </c>
      <c r="C116" s="15" t="s">
        <v>581</v>
      </c>
      <c r="D116" s="15" t="s">
        <v>601</v>
      </c>
      <c r="E116" s="15" t="s">
        <v>135</v>
      </c>
      <c r="F116" s="15" t="s">
        <v>602</v>
      </c>
      <c r="G116" s="15" t="s">
        <v>603</v>
      </c>
      <c r="H116" s="15" t="s">
        <v>604</v>
      </c>
      <c r="I116" s="14" t="s">
        <v>50</v>
      </c>
      <c r="J116" s="14" t="s">
        <v>44</v>
      </c>
      <c r="K116" s="16"/>
      <c r="L116" s="17" t="s">
        <v>25</v>
      </c>
      <c r="M116" s="16"/>
      <c r="N116" s="18"/>
      <c r="O116" s="17"/>
      <c r="P116" s="16"/>
    </row>
    <row r="117" spans="1:16" ht="51" x14ac:dyDescent="0.25">
      <c r="A117" s="14" t="s">
        <v>605</v>
      </c>
      <c r="B117" s="15" t="s">
        <v>533</v>
      </c>
      <c r="C117" s="15" t="s">
        <v>606</v>
      </c>
      <c r="D117" s="15" t="s">
        <v>607</v>
      </c>
      <c r="E117" s="15" t="s">
        <v>135</v>
      </c>
      <c r="F117" s="15" t="s">
        <v>608</v>
      </c>
      <c r="G117" s="15" t="s">
        <v>609</v>
      </c>
      <c r="H117" s="15" t="s">
        <v>610</v>
      </c>
      <c r="I117" s="14" t="s">
        <v>24</v>
      </c>
      <c r="J117" s="14" t="s">
        <v>2</v>
      </c>
      <c r="K117" s="16"/>
      <c r="L117" s="17" t="s">
        <v>25</v>
      </c>
      <c r="M117" s="16"/>
      <c r="N117" s="18"/>
      <c r="O117" s="17"/>
      <c r="P117" s="16"/>
    </row>
    <row r="118" spans="1:16" x14ac:dyDescent="0.25">
      <c r="A118" s="14" t="s">
        <v>611</v>
      </c>
      <c r="B118" s="15" t="s">
        <v>533</v>
      </c>
      <c r="C118" s="15" t="s">
        <v>606</v>
      </c>
      <c r="D118" s="15" t="s">
        <v>612</v>
      </c>
      <c r="E118" s="15" t="s">
        <v>135</v>
      </c>
      <c r="F118" s="15" t="s">
        <v>613</v>
      </c>
      <c r="G118" s="15" t="s">
        <v>614</v>
      </c>
      <c r="H118" s="15" t="s">
        <v>615</v>
      </c>
      <c r="I118" s="14" t="s">
        <v>38</v>
      </c>
      <c r="J118" s="14" t="s">
        <v>44</v>
      </c>
      <c r="K118" s="16"/>
      <c r="L118" s="17" t="s">
        <v>25</v>
      </c>
      <c r="M118" s="16"/>
      <c r="N118" s="18"/>
      <c r="O118" s="17"/>
      <c r="P118" s="16"/>
    </row>
    <row r="119" spans="1:16" x14ac:dyDescent="0.25">
      <c r="A119" s="14" t="s">
        <v>616</v>
      </c>
      <c r="B119" s="15" t="s">
        <v>533</v>
      </c>
      <c r="C119" s="15" t="s">
        <v>606</v>
      </c>
      <c r="D119" s="15" t="s">
        <v>617</v>
      </c>
      <c r="E119" s="15" t="s">
        <v>618</v>
      </c>
      <c r="F119" s="15" t="s">
        <v>619</v>
      </c>
      <c r="G119" s="15" t="s">
        <v>120</v>
      </c>
      <c r="H119" s="15" t="s">
        <v>620</v>
      </c>
      <c r="I119" s="14" t="s">
        <v>38</v>
      </c>
      <c r="J119" s="14" t="s">
        <v>32</v>
      </c>
      <c r="K119" s="16"/>
      <c r="L119" s="17" t="s">
        <v>25</v>
      </c>
      <c r="M119" s="16"/>
      <c r="N119" s="18"/>
      <c r="O119" s="17"/>
      <c r="P119" s="16"/>
    </row>
    <row r="120" spans="1:16" x14ac:dyDescent="0.25">
      <c r="A120" s="14" t="s">
        <v>621</v>
      </c>
      <c r="B120" s="15" t="s">
        <v>533</v>
      </c>
      <c r="C120" s="15" t="s">
        <v>606</v>
      </c>
      <c r="D120" s="15" t="s">
        <v>622</v>
      </c>
      <c r="E120" s="15" t="s">
        <v>135</v>
      </c>
      <c r="F120" s="15" t="s">
        <v>623</v>
      </c>
      <c r="G120" s="15" t="s">
        <v>120</v>
      </c>
      <c r="H120" s="15" t="s">
        <v>624</v>
      </c>
      <c r="I120" s="14" t="s">
        <v>50</v>
      </c>
      <c r="J120" s="14" t="s">
        <v>44</v>
      </c>
      <c r="K120" s="16"/>
      <c r="L120" s="17" t="s">
        <v>25</v>
      </c>
      <c r="M120" s="16"/>
      <c r="N120" s="18"/>
      <c r="O120" s="17"/>
      <c r="P120" s="16"/>
    </row>
    <row r="121" spans="1:16" ht="38.25" x14ac:dyDescent="0.25">
      <c r="A121" s="14" t="s">
        <v>625</v>
      </c>
      <c r="B121" s="15" t="s">
        <v>533</v>
      </c>
      <c r="C121" s="15" t="s">
        <v>606</v>
      </c>
      <c r="D121" s="15" t="s">
        <v>626</v>
      </c>
      <c r="E121" s="15" t="s">
        <v>627</v>
      </c>
      <c r="F121" s="15" t="s">
        <v>628</v>
      </c>
      <c r="G121" s="15" t="s">
        <v>120</v>
      </c>
      <c r="H121" s="15" t="s">
        <v>629</v>
      </c>
      <c r="I121" s="14" t="s">
        <v>24</v>
      </c>
      <c r="J121" s="14" t="s">
        <v>2</v>
      </c>
      <c r="K121" s="16"/>
      <c r="L121" s="17" t="s">
        <v>25</v>
      </c>
      <c r="M121" s="16"/>
      <c r="N121" s="18"/>
      <c r="O121" s="17"/>
      <c r="P121" s="16"/>
    </row>
    <row r="122" spans="1:16" ht="25.5" x14ac:dyDescent="0.25">
      <c r="A122" s="14" t="s">
        <v>630</v>
      </c>
      <c r="B122" s="15" t="s">
        <v>533</v>
      </c>
      <c r="C122" s="15" t="s">
        <v>606</v>
      </c>
      <c r="D122" s="15" t="s">
        <v>631</v>
      </c>
      <c r="E122" s="15" t="s">
        <v>627</v>
      </c>
      <c r="F122" s="15" t="s">
        <v>632</v>
      </c>
      <c r="G122" s="15" t="s">
        <v>120</v>
      </c>
      <c r="H122" s="15" t="s">
        <v>633</v>
      </c>
      <c r="I122" s="14" t="s">
        <v>38</v>
      </c>
      <c r="J122" s="14" t="s">
        <v>2</v>
      </c>
      <c r="K122" s="16"/>
      <c r="L122" s="17" t="s">
        <v>25</v>
      </c>
      <c r="M122" s="16"/>
      <c r="N122" s="18"/>
      <c r="O122" s="17"/>
      <c r="P122" s="16"/>
    </row>
    <row r="123" spans="1:16" ht="25.5" x14ac:dyDescent="0.25">
      <c r="A123" s="14" t="s">
        <v>634</v>
      </c>
      <c r="B123" s="15" t="s">
        <v>533</v>
      </c>
      <c r="C123" s="15" t="s">
        <v>606</v>
      </c>
      <c r="D123" s="15" t="s">
        <v>635</v>
      </c>
      <c r="E123" s="15" t="s">
        <v>541</v>
      </c>
      <c r="F123" s="15" t="s">
        <v>636</v>
      </c>
      <c r="G123" s="15" t="s">
        <v>120</v>
      </c>
      <c r="H123" s="15" t="s">
        <v>348</v>
      </c>
      <c r="I123" s="14" t="s">
        <v>24</v>
      </c>
      <c r="J123" s="14" t="s">
        <v>103</v>
      </c>
      <c r="K123" s="16"/>
      <c r="L123" s="17" t="s">
        <v>25</v>
      </c>
      <c r="M123" s="16"/>
      <c r="N123" s="18"/>
      <c r="O123" s="17"/>
      <c r="P123" s="16"/>
    </row>
    <row r="124" spans="1:16" ht="25.5" x14ac:dyDescent="0.25">
      <c r="A124" s="14" t="s">
        <v>637</v>
      </c>
      <c r="B124" s="15" t="s">
        <v>533</v>
      </c>
      <c r="C124" s="15" t="s">
        <v>638</v>
      </c>
      <c r="D124" s="15" t="s">
        <v>639</v>
      </c>
      <c r="E124" s="15" t="s">
        <v>135</v>
      </c>
      <c r="F124" s="15" t="s">
        <v>640</v>
      </c>
      <c r="G124" s="15" t="s">
        <v>641</v>
      </c>
      <c r="H124" s="15" t="s">
        <v>642</v>
      </c>
      <c r="I124" s="14" t="s">
        <v>24</v>
      </c>
      <c r="J124" s="14" t="s">
        <v>2</v>
      </c>
      <c r="K124" s="16"/>
      <c r="L124" s="17" t="s">
        <v>25</v>
      </c>
      <c r="M124" s="16"/>
      <c r="N124" s="18"/>
      <c r="O124" s="17"/>
      <c r="P124" s="16"/>
    </row>
    <row r="125" spans="1:16" x14ac:dyDescent="0.25">
      <c r="A125" s="14" t="s">
        <v>643</v>
      </c>
      <c r="B125" s="15" t="s">
        <v>533</v>
      </c>
      <c r="C125" s="15" t="s">
        <v>638</v>
      </c>
      <c r="D125" s="15" t="s">
        <v>644</v>
      </c>
      <c r="E125" s="15" t="s">
        <v>135</v>
      </c>
      <c r="F125" s="15" t="s">
        <v>645</v>
      </c>
      <c r="G125" s="15" t="s">
        <v>120</v>
      </c>
      <c r="H125" s="15" t="s">
        <v>646</v>
      </c>
      <c r="I125" s="14" t="s">
        <v>38</v>
      </c>
      <c r="J125" s="14" t="s">
        <v>32</v>
      </c>
      <c r="K125" s="16"/>
      <c r="L125" s="17" t="s">
        <v>25</v>
      </c>
      <c r="M125" s="16"/>
      <c r="N125" s="18"/>
      <c r="O125" s="17"/>
      <c r="P125" s="16"/>
    </row>
    <row r="126" spans="1:16" ht="25.5" x14ac:dyDescent="0.25">
      <c r="A126" s="14" t="s">
        <v>647</v>
      </c>
      <c r="B126" s="15" t="s">
        <v>533</v>
      </c>
      <c r="C126" s="15" t="s">
        <v>638</v>
      </c>
      <c r="D126" s="15" t="s">
        <v>648</v>
      </c>
      <c r="E126" s="15" t="s">
        <v>135</v>
      </c>
      <c r="F126" s="15" t="s">
        <v>649</v>
      </c>
      <c r="G126" s="15" t="s">
        <v>120</v>
      </c>
      <c r="H126" s="15" t="s">
        <v>650</v>
      </c>
      <c r="I126" s="14" t="s">
        <v>38</v>
      </c>
      <c r="J126" s="14" t="s">
        <v>44</v>
      </c>
      <c r="K126" s="16"/>
      <c r="L126" s="17" t="s">
        <v>25</v>
      </c>
      <c r="M126" s="16"/>
      <c r="N126" s="18"/>
      <c r="O126" s="17"/>
      <c r="P126" s="16"/>
    </row>
    <row r="127" spans="1:16" ht="25.5" x14ac:dyDescent="0.25">
      <c r="A127" s="14" t="s">
        <v>651</v>
      </c>
      <c r="B127" s="15" t="s">
        <v>533</v>
      </c>
      <c r="C127" s="15" t="s">
        <v>638</v>
      </c>
      <c r="D127" s="15" t="s">
        <v>652</v>
      </c>
      <c r="E127" s="15" t="s">
        <v>653</v>
      </c>
      <c r="F127" s="15" t="s">
        <v>654</v>
      </c>
      <c r="G127" s="15" t="s">
        <v>120</v>
      </c>
      <c r="H127" s="15" t="s">
        <v>655</v>
      </c>
      <c r="I127" s="14" t="s">
        <v>38</v>
      </c>
      <c r="J127" s="14" t="s">
        <v>2</v>
      </c>
      <c r="K127" s="16"/>
      <c r="L127" s="17" t="s">
        <v>25</v>
      </c>
      <c r="M127" s="16"/>
      <c r="N127" s="18"/>
      <c r="O127" s="17"/>
      <c r="P127" s="16"/>
    </row>
    <row r="128" spans="1:16" ht="38.25" x14ac:dyDescent="0.25">
      <c r="A128" s="14" t="s">
        <v>656</v>
      </c>
      <c r="B128" s="15" t="s">
        <v>533</v>
      </c>
      <c r="C128" s="15" t="s">
        <v>638</v>
      </c>
      <c r="D128" s="15" t="s">
        <v>657</v>
      </c>
      <c r="E128" s="15" t="s">
        <v>658</v>
      </c>
      <c r="F128" s="15" t="s">
        <v>659</v>
      </c>
      <c r="G128" s="15" t="s">
        <v>120</v>
      </c>
      <c r="H128" s="15" t="s">
        <v>660</v>
      </c>
      <c r="I128" s="14" t="s">
        <v>24</v>
      </c>
      <c r="J128" s="14" t="s">
        <v>2</v>
      </c>
      <c r="K128" s="16"/>
      <c r="L128" s="17" t="s">
        <v>25</v>
      </c>
      <c r="M128" s="16"/>
      <c r="N128" s="18"/>
      <c r="O128" s="17"/>
      <c r="P128" s="16"/>
    </row>
    <row r="129" spans="1:16" x14ac:dyDescent="0.25">
      <c r="A129" s="14" t="s">
        <v>661</v>
      </c>
      <c r="B129" s="15" t="s">
        <v>533</v>
      </c>
      <c r="C129" s="15" t="s">
        <v>638</v>
      </c>
      <c r="D129" s="15" t="s">
        <v>662</v>
      </c>
      <c r="E129" s="15" t="s">
        <v>663</v>
      </c>
      <c r="F129" s="15" t="s">
        <v>664</v>
      </c>
      <c r="G129" s="15" t="s">
        <v>120</v>
      </c>
      <c r="H129" s="15" t="s">
        <v>665</v>
      </c>
      <c r="I129" s="14" t="s">
        <v>50</v>
      </c>
      <c r="J129" s="14" t="s">
        <v>2</v>
      </c>
      <c r="K129" s="16"/>
      <c r="L129" s="17" t="s">
        <v>25</v>
      </c>
      <c r="M129" s="16"/>
      <c r="N129" s="18"/>
      <c r="O129" s="17"/>
      <c r="P129" s="16"/>
    </row>
    <row r="130" spans="1:16" ht="38.25" x14ac:dyDescent="0.25">
      <c r="A130" s="14" t="s">
        <v>666</v>
      </c>
      <c r="B130" s="15" t="s">
        <v>533</v>
      </c>
      <c r="C130" s="15" t="s">
        <v>667</v>
      </c>
      <c r="D130" s="15" t="s">
        <v>668</v>
      </c>
      <c r="E130" s="15" t="s">
        <v>669</v>
      </c>
      <c r="F130" s="15" t="s">
        <v>670</v>
      </c>
      <c r="G130" s="15" t="s">
        <v>671</v>
      </c>
      <c r="H130" s="15" t="s">
        <v>672</v>
      </c>
      <c r="I130" s="14" t="s">
        <v>24</v>
      </c>
      <c r="J130" s="14" t="s">
        <v>2</v>
      </c>
      <c r="K130" s="16"/>
      <c r="L130" s="17" t="s">
        <v>25</v>
      </c>
      <c r="M130" s="16"/>
      <c r="N130" s="18"/>
      <c r="O130" s="17"/>
      <c r="P130" s="16"/>
    </row>
    <row r="131" spans="1:16" ht="25.5" x14ac:dyDescent="0.25">
      <c r="A131" s="14" t="s">
        <v>673</v>
      </c>
      <c r="B131" s="15" t="s">
        <v>533</v>
      </c>
      <c r="C131" s="15" t="s">
        <v>667</v>
      </c>
      <c r="D131" s="15" t="s">
        <v>674</v>
      </c>
      <c r="E131" s="15" t="s">
        <v>627</v>
      </c>
      <c r="F131" s="15" t="s">
        <v>675</v>
      </c>
      <c r="G131" s="15" t="s">
        <v>676</v>
      </c>
      <c r="H131" s="15" t="s">
        <v>677</v>
      </c>
      <c r="I131" s="14" t="s">
        <v>38</v>
      </c>
      <c r="J131" s="14" t="s">
        <v>44</v>
      </c>
      <c r="K131" s="16"/>
      <c r="L131" s="17" t="s">
        <v>25</v>
      </c>
      <c r="M131" s="16"/>
      <c r="N131" s="18"/>
      <c r="O131" s="17"/>
      <c r="P131" s="16"/>
    </row>
    <row r="132" spans="1:16" x14ac:dyDescent="0.25">
      <c r="A132" s="14" t="s">
        <v>678</v>
      </c>
      <c r="B132" s="15" t="s">
        <v>533</v>
      </c>
      <c r="C132" s="15" t="s">
        <v>667</v>
      </c>
      <c r="D132" s="15" t="s">
        <v>679</v>
      </c>
      <c r="E132" s="15" t="s">
        <v>680</v>
      </c>
      <c r="F132" s="15" t="s">
        <v>681</v>
      </c>
      <c r="G132" s="15" t="s">
        <v>120</v>
      </c>
      <c r="H132" s="15" t="s">
        <v>682</v>
      </c>
      <c r="I132" s="14" t="s">
        <v>24</v>
      </c>
      <c r="J132" s="14" t="s">
        <v>32</v>
      </c>
      <c r="K132" s="16"/>
      <c r="L132" s="17" t="s">
        <v>25</v>
      </c>
      <c r="M132" s="16"/>
      <c r="N132" s="18"/>
      <c r="O132" s="17"/>
      <c r="P132" s="16"/>
    </row>
    <row r="133" spans="1:16" ht="25.5" x14ac:dyDescent="0.25">
      <c r="A133" s="14" t="s">
        <v>683</v>
      </c>
      <c r="B133" s="15" t="s">
        <v>533</v>
      </c>
      <c r="C133" s="15" t="s">
        <v>667</v>
      </c>
      <c r="D133" s="15" t="s">
        <v>684</v>
      </c>
      <c r="E133" s="15" t="s">
        <v>685</v>
      </c>
      <c r="F133" s="15" t="s">
        <v>686</v>
      </c>
      <c r="G133" s="15" t="s">
        <v>120</v>
      </c>
      <c r="H133" s="15" t="s">
        <v>687</v>
      </c>
      <c r="I133" s="14" t="s">
        <v>38</v>
      </c>
      <c r="J133" s="14" t="s">
        <v>2</v>
      </c>
      <c r="K133" s="16"/>
      <c r="L133" s="17" t="s">
        <v>25</v>
      </c>
      <c r="M133" s="16"/>
      <c r="N133" s="18"/>
      <c r="O133" s="17"/>
      <c r="P133" s="16"/>
    </row>
    <row r="134" spans="1:16" ht="25.5" x14ac:dyDescent="0.25">
      <c r="A134" s="14" t="s">
        <v>688</v>
      </c>
      <c r="B134" s="15" t="s">
        <v>533</v>
      </c>
      <c r="C134" s="15" t="s">
        <v>667</v>
      </c>
      <c r="D134" s="15" t="s">
        <v>689</v>
      </c>
      <c r="E134" s="15" t="s">
        <v>135</v>
      </c>
      <c r="F134" s="15" t="s">
        <v>690</v>
      </c>
      <c r="G134" s="15" t="s">
        <v>691</v>
      </c>
      <c r="H134" s="15" t="s">
        <v>692</v>
      </c>
      <c r="I134" s="14" t="s">
        <v>24</v>
      </c>
      <c r="J134" s="14" t="s">
        <v>2</v>
      </c>
      <c r="K134" s="16"/>
      <c r="L134" s="17" t="s">
        <v>25</v>
      </c>
      <c r="M134" s="16"/>
      <c r="N134" s="18"/>
      <c r="O134" s="17"/>
      <c r="P134" s="16"/>
    </row>
    <row r="135" spans="1:16" ht="25.5" x14ac:dyDescent="0.25">
      <c r="A135" s="14" t="s">
        <v>693</v>
      </c>
      <c r="B135" s="15" t="s">
        <v>533</v>
      </c>
      <c r="C135" s="15" t="s">
        <v>667</v>
      </c>
      <c r="D135" s="15" t="s">
        <v>694</v>
      </c>
      <c r="E135" s="15" t="s">
        <v>695</v>
      </c>
      <c r="F135" s="15" t="s">
        <v>696</v>
      </c>
      <c r="G135" s="15" t="s">
        <v>120</v>
      </c>
      <c r="H135" s="15" t="s">
        <v>697</v>
      </c>
      <c r="I135" s="14" t="s">
        <v>24</v>
      </c>
      <c r="J135" s="14" t="s">
        <v>103</v>
      </c>
      <c r="K135" s="16"/>
      <c r="L135" s="17" t="s">
        <v>25</v>
      </c>
      <c r="M135" s="16"/>
      <c r="N135" s="18"/>
      <c r="O135" s="17"/>
      <c r="P135" s="16"/>
    </row>
    <row r="136" spans="1:16" ht="25.5" x14ac:dyDescent="0.25">
      <c r="A136" s="14" t="s">
        <v>698</v>
      </c>
      <c r="B136" s="15" t="s">
        <v>533</v>
      </c>
      <c r="C136" s="15" t="s">
        <v>667</v>
      </c>
      <c r="D136" s="15" t="s">
        <v>699</v>
      </c>
      <c r="E136" s="15" t="s">
        <v>700</v>
      </c>
      <c r="F136" s="15" t="s">
        <v>701</v>
      </c>
      <c r="G136" s="15" t="s">
        <v>120</v>
      </c>
      <c r="H136" s="15" t="s">
        <v>702</v>
      </c>
      <c r="I136" s="14" t="s">
        <v>38</v>
      </c>
      <c r="J136" s="14" t="s">
        <v>2</v>
      </c>
      <c r="K136" s="16"/>
      <c r="L136" s="17" t="s">
        <v>25</v>
      </c>
      <c r="M136" s="16"/>
      <c r="N136" s="18"/>
      <c r="O136" s="17"/>
      <c r="P136" s="16"/>
    </row>
    <row r="137" spans="1:16" x14ac:dyDescent="0.25">
      <c r="A137" s="14" t="s">
        <v>703</v>
      </c>
      <c r="B137" s="15" t="s">
        <v>533</v>
      </c>
      <c r="C137" s="15" t="s">
        <v>667</v>
      </c>
      <c r="D137" s="15" t="s">
        <v>704</v>
      </c>
      <c r="E137" s="15" t="s">
        <v>705</v>
      </c>
      <c r="F137" s="15" t="s">
        <v>706</v>
      </c>
      <c r="G137" s="15" t="s">
        <v>120</v>
      </c>
      <c r="H137" s="15" t="s">
        <v>707</v>
      </c>
      <c r="I137" s="14" t="s">
        <v>38</v>
      </c>
      <c r="J137" s="14" t="s">
        <v>2</v>
      </c>
      <c r="K137" s="16"/>
      <c r="L137" s="17" t="s">
        <v>25</v>
      </c>
      <c r="M137" s="16"/>
      <c r="N137" s="18"/>
      <c r="O137" s="17"/>
      <c r="P137" s="16"/>
    </row>
    <row r="138" spans="1:16" ht="25.5" x14ac:dyDescent="0.25">
      <c r="A138" s="14" t="s">
        <v>708</v>
      </c>
      <c r="B138" s="15" t="s">
        <v>533</v>
      </c>
      <c r="C138" s="15" t="s">
        <v>667</v>
      </c>
      <c r="D138" s="15" t="s">
        <v>709</v>
      </c>
      <c r="E138" s="15" t="s">
        <v>710</v>
      </c>
      <c r="F138" s="15" t="s">
        <v>711</v>
      </c>
      <c r="G138" s="15" t="s">
        <v>120</v>
      </c>
      <c r="H138" s="15" t="s">
        <v>712</v>
      </c>
      <c r="I138" s="14" t="s">
        <v>38</v>
      </c>
      <c r="J138" s="14" t="s">
        <v>172</v>
      </c>
      <c r="K138" s="16"/>
      <c r="L138" s="17" t="s">
        <v>25</v>
      </c>
      <c r="M138" s="16"/>
      <c r="N138" s="18"/>
      <c r="O138" s="17"/>
      <c r="P138" s="16"/>
    </row>
    <row r="139" spans="1:16" ht="25.5" x14ac:dyDescent="0.25">
      <c r="A139" s="14" t="s">
        <v>713</v>
      </c>
      <c r="B139" s="15" t="s">
        <v>533</v>
      </c>
      <c r="C139" s="15" t="s">
        <v>667</v>
      </c>
      <c r="D139" s="15" t="s">
        <v>714</v>
      </c>
      <c r="E139" s="15" t="s">
        <v>715</v>
      </c>
      <c r="F139" s="15" t="s">
        <v>573</v>
      </c>
      <c r="G139" s="15" t="s">
        <v>120</v>
      </c>
      <c r="H139" s="15" t="s">
        <v>716</v>
      </c>
      <c r="I139" s="14" t="s">
        <v>50</v>
      </c>
      <c r="J139" s="14" t="s">
        <v>2</v>
      </c>
      <c r="K139" s="16"/>
      <c r="L139" s="17" t="s">
        <v>25</v>
      </c>
      <c r="M139" s="16"/>
      <c r="N139" s="18"/>
      <c r="O139" s="17"/>
      <c r="P139" s="16"/>
    </row>
    <row r="140" spans="1:16" ht="38.25" x14ac:dyDescent="0.25">
      <c r="A140" s="14" t="s">
        <v>717</v>
      </c>
      <c r="B140" s="15" t="s">
        <v>533</v>
      </c>
      <c r="C140" s="15" t="s">
        <v>718</v>
      </c>
      <c r="D140" s="15" t="s">
        <v>719</v>
      </c>
      <c r="E140" s="15" t="s">
        <v>720</v>
      </c>
      <c r="F140" s="15" t="s">
        <v>721</v>
      </c>
      <c r="G140" s="15" t="s">
        <v>722</v>
      </c>
      <c r="H140" s="15" t="s">
        <v>723</v>
      </c>
      <c r="I140" s="14" t="s">
        <v>24</v>
      </c>
      <c r="J140" s="14" t="s">
        <v>2</v>
      </c>
      <c r="K140" s="16"/>
      <c r="L140" s="17" t="s">
        <v>25</v>
      </c>
      <c r="M140" s="16"/>
      <c r="N140" s="18"/>
      <c r="O140" s="17"/>
      <c r="P140" s="16"/>
    </row>
    <row r="141" spans="1:16" ht="25.5" x14ac:dyDescent="0.25">
      <c r="A141" s="14" t="s">
        <v>724</v>
      </c>
      <c r="B141" s="15" t="s">
        <v>533</v>
      </c>
      <c r="C141" s="15" t="s">
        <v>718</v>
      </c>
      <c r="D141" s="15" t="s">
        <v>725</v>
      </c>
      <c r="E141" s="15" t="s">
        <v>726</v>
      </c>
      <c r="F141" s="15" t="s">
        <v>727</v>
      </c>
      <c r="G141" s="15" t="s">
        <v>728</v>
      </c>
      <c r="H141" s="15" t="s">
        <v>729</v>
      </c>
      <c r="I141" s="14" t="s">
        <v>24</v>
      </c>
      <c r="J141" s="14" t="s">
        <v>2</v>
      </c>
      <c r="K141" s="16"/>
      <c r="L141" s="17" t="s">
        <v>25</v>
      </c>
      <c r="M141" s="16"/>
      <c r="N141" s="18"/>
      <c r="O141" s="17"/>
      <c r="P141" s="16"/>
    </row>
    <row r="142" spans="1:16" x14ac:dyDescent="0.25">
      <c r="A142" s="14" t="s">
        <v>730</v>
      </c>
      <c r="B142" s="15" t="s">
        <v>533</v>
      </c>
      <c r="C142" s="15" t="s">
        <v>718</v>
      </c>
      <c r="D142" s="15" t="s">
        <v>731</v>
      </c>
      <c r="E142" s="15" t="s">
        <v>732</v>
      </c>
      <c r="F142" s="15" t="s">
        <v>727</v>
      </c>
      <c r="G142" s="15" t="s">
        <v>120</v>
      </c>
      <c r="H142" s="15" t="s">
        <v>733</v>
      </c>
      <c r="I142" s="14" t="s">
        <v>38</v>
      </c>
      <c r="J142" s="14" t="s">
        <v>44</v>
      </c>
      <c r="K142" s="16"/>
      <c r="L142" s="17" t="s">
        <v>25</v>
      </c>
      <c r="M142" s="16"/>
      <c r="N142" s="18"/>
      <c r="O142" s="17"/>
      <c r="P142" s="16"/>
    </row>
    <row r="143" spans="1:16" x14ac:dyDescent="0.25">
      <c r="A143" s="14" t="s">
        <v>734</v>
      </c>
      <c r="B143" s="15" t="s">
        <v>533</v>
      </c>
      <c r="C143" s="15" t="s">
        <v>718</v>
      </c>
      <c r="D143" s="15" t="s">
        <v>735</v>
      </c>
      <c r="E143" s="15" t="s">
        <v>736</v>
      </c>
      <c r="F143" s="15" t="s">
        <v>737</v>
      </c>
      <c r="G143" s="15" t="s">
        <v>120</v>
      </c>
      <c r="H143" s="15" t="s">
        <v>738</v>
      </c>
      <c r="I143" s="14" t="s">
        <v>24</v>
      </c>
      <c r="J143" s="14" t="s">
        <v>2</v>
      </c>
      <c r="K143" s="16"/>
      <c r="L143" s="17" t="s">
        <v>25</v>
      </c>
      <c r="M143" s="16"/>
      <c r="N143" s="18"/>
      <c r="O143" s="17"/>
      <c r="P143" s="16"/>
    </row>
    <row r="144" spans="1:16" x14ac:dyDescent="0.25">
      <c r="A144" s="14" t="s">
        <v>739</v>
      </c>
      <c r="B144" s="15" t="s">
        <v>533</v>
      </c>
      <c r="C144" s="15" t="s">
        <v>718</v>
      </c>
      <c r="D144" s="15" t="s">
        <v>740</v>
      </c>
      <c r="E144" s="15" t="s">
        <v>741</v>
      </c>
      <c r="F144" s="15" t="s">
        <v>742</v>
      </c>
      <c r="G144" s="15" t="s">
        <v>120</v>
      </c>
      <c r="H144" s="15" t="s">
        <v>743</v>
      </c>
      <c r="I144" s="14" t="s">
        <v>38</v>
      </c>
      <c r="J144" s="14" t="s">
        <v>44</v>
      </c>
      <c r="K144" s="16"/>
      <c r="L144" s="17" t="s">
        <v>25</v>
      </c>
      <c r="M144" s="16"/>
      <c r="N144" s="18"/>
      <c r="O144" s="17"/>
      <c r="P144" s="16"/>
    </row>
    <row r="145" spans="1:16" x14ac:dyDescent="0.25">
      <c r="A145" s="14" t="s">
        <v>744</v>
      </c>
      <c r="B145" s="15" t="s">
        <v>533</v>
      </c>
      <c r="C145" s="15" t="s">
        <v>718</v>
      </c>
      <c r="D145" s="15" t="s">
        <v>745</v>
      </c>
      <c r="E145" s="15" t="s">
        <v>746</v>
      </c>
      <c r="F145" s="15" t="s">
        <v>747</v>
      </c>
      <c r="G145" s="15" t="s">
        <v>120</v>
      </c>
      <c r="H145" s="15" t="s">
        <v>748</v>
      </c>
      <c r="I145" s="14" t="s">
        <v>38</v>
      </c>
      <c r="J145" s="14" t="s">
        <v>2</v>
      </c>
      <c r="K145" s="16"/>
      <c r="L145" s="17" t="s">
        <v>25</v>
      </c>
      <c r="M145" s="16"/>
      <c r="N145" s="18"/>
      <c r="O145" s="17"/>
      <c r="P145" s="16"/>
    </row>
    <row r="146" spans="1:16" ht="25.5" x14ac:dyDescent="0.25">
      <c r="A146" s="14" t="s">
        <v>749</v>
      </c>
      <c r="B146" s="15" t="s">
        <v>533</v>
      </c>
      <c r="C146" s="15" t="s">
        <v>718</v>
      </c>
      <c r="D146" s="15" t="s">
        <v>750</v>
      </c>
      <c r="E146" s="15" t="s">
        <v>741</v>
      </c>
      <c r="F146" s="15" t="s">
        <v>751</v>
      </c>
      <c r="G146" s="15" t="s">
        <v>120</v>
      </c>
      <c r="H146" s="15" t="s">
        <v>752</v>
      </c>
      <c r="I146" s="14" t="s">
        <v>24</v>
      </c>
      <c r="J146" s="14" t="s">
        <v>2</v>
      </c>
      <c r="K146" s="16"/>
      <c r="L146" s="17" t="s">
        <v>25</v>
      </c>
      <c r="M146" s="16"/>
      <c r="N146" s="18"/>
      <c r="O146" s="17"/>
      <c r="P146" s="16"/>
    </row>
    <row r="147" spans="1:16" x14ac:dyDescent="0.25">
      <c r="A147" s="14" t="s">
        <v>753</v>
      </c>
      <c r="B147" s="15" t="s">
        <v>533</v>
      </c>
      <c r="C147" s="15" t="s">
        <v>718</v>
      </c>
      <c r="D147" s="15" t="s">
        <v>754</v>
      </c>
      <c r="E147" s="15" t="s">
        <v>755</v>
      </c>
      <c r="F147" s="15" t="s">
        <v>573</v>
      </c>
      <c r="G147" s="15" t="s">
        <v>120</v>
      </c>
      <c r="H147" s="15" t="s">
        <v>756</v>
      </c>
      <c r="I147" s="14" t="s">
        <v>50</v>
      </c>
      <c r="J147" s="14" t="s">
        <v>2</v>
      </c>
      <c r="K147" s="16"/>
      <c r="L147" s="17" t="s">
        <v>25</v>
      </c>
      <c r="M147" s="16"/>
      <c r="N147" s="18"/>
      <c r="O147" s="17"/>
      <c r="P147" s="16"/>
    </row>
    <row r="148" spans="1:16" ht="25.5" x14ac:dyDescent="0.25">
      <c r="A148" s="14" t="s">
        <v>757</v>
      </c>
      <c r="B148" s="15" t="s">
        <v>533</v>
      </c>
      <c r="C148" s="15" t="s">
        <v>758</v>
      </c>
      <c r="D148" s="15" t="s">
        <v>759</v>
      </c>
      <c r="E148" s="15" t="s">
        <v>460</v>
      </c>
      <c r="F148" s="15" t="s">
        <v>760</v>
      </c>
      <c r="G148" s="15" t="s">
        <v>120</v>
      </c>
      <c r="H148" s="15" t="s">
        <v>761</v>
      </c>
      <c r="I148" s="14" t="s">
        <v>24</v>
      </c>
      <c r="J148" s="14" t="s">
        <v>2</v>
      </c>
      <c r="K148" s="16"/>
      <c r="L148" s="17" t="s">
        <v>25</v>
      </c>
      <c r="M148" s="16"/>
      <c r="N148" s="18"/>
      <c r="O148" s="17"/>
      <c r="P148" s="16"/>
    </row>
    <row r="149" spans="1:16" ht="25.5" x14ac:dyDescent="0.25">
      <c r="A149" s="14" t="s">
        <v>762</v>
      </c>
      <c r="B149" s="15" t="s">
        <v>533</v>
      </c>
      <c r="C149" s="15" t="s">
        <v>758</v>
      </c>
      <c r="D149" s="15" t="s">
        <v>763</v>
      </c>
      <c r="E149" s="15" t="s">
        <v>495</v>
      </c>
      <c r="F149" s="15" t="s">
        <v>764</v>
      </c>
      <c r="G149" s="15" t="s">
        <v>120</v>
      </c>
      <c r="H149" s="15" t="s">
        <v>765</v>
      </c>
      <c r="I149" s="14" t="s">
        <v>24</v>
      </c>
      <c r="J149" s="14" t="s">
        <v>2</v>
      </c>
      <c r="K149" s="16"/>
      <c r="L149" s="17" t="s">
        <v>25</v>
      </c>
      <c r="M149" s="16"/>
      <c r="N149" s="18"/>
      <c r="O149" s="17"/>
      <c r="P149" s="16"/>
    </row>
    <row r="150" spans="1:16" x14ac:dyDescent="0.25">
      <c r="A150" s="14" t="s">
        <v>766</v>
      </c>
      <c r="B150" s="15" t="s">
        <v>533</v>
      </c>
      <c r="C150" s="15" t="s">
        <v>758</v>
      </c>
      <c r="D150" s="15" t="s">
        <v>767</v>
      </c>
      <c r="E150" s="15" t="s">
        <v>715</v>
      </c>
      <c r="F150" s="15" t="s">
        <v>573</v>
      </c>
      <c r="G150" s="15" t="s">
        <v>120</v>
      </c>
      <c r="H150" s="15" t="s">
        <v>768</v>
      </c>
      <c r="I150" s="14" t="s">
        <v>50</v>
      </c>
      <c r="J150" s="14" t="s">
        <v>2</v>
      </c>
      <c r="K150" s="16"/>
      <c r="L150" s="17" t="s">
        <v>25</v>
      </c>
      <c r="M150" s="16"/>
      <c r="N150" s="18"/>
      <c r="O150" s="17"/>
      <c r="P150" s="16"/>
    </row>
    <row r="151" spans="1:16" ht="38.25" x14ac:dyDescent="0.25">
      <c r="A151" s="14" t="s">
        <v>769</v>
      </c>
      <c r="B151" s="15" t="s">
        <v>533</v>
      </c>
      <c r="C151" s="15" t="s">
        <v>758</v>
      </c>
      <c r="D151" s="15" t="s">
        <v>770</v>
      </c>
      <c r="E151" s="15" t="s">
        <v>771</v>
      </c>
      <c r="F151" s="15" t="s">
        <v>772</v>
      </c>
      <c r="G151" s="15" t="s">
        <v>120</v>
      </c>
      <c r="H151" s="15" t="s">
        <v>773</v>
      </c>
      <c r="I151" s="14" t="s">
        <v>50</v>
      </c>
      <c r="J151" s="14" t="s">
        <v>2</v>
      </c>
      <c r="K151" s="16"/>
      <c r="L151" s="17" t="s">
        <v>25</v>
      </c>
      <c r="M151" s="16"/>
      <c r="N151" s="18"/>
      <c r="O151" s="17"/>
      <c r="P151" s="16"/>
    </row>
    <row r="152" spans="1:16" ht="38.25" x14ac:dyDescent="0.25">
      <c r="A152" s="14" t="s">
        <v>774</v>
      </c>
      <c r="B152" s="15" t="s">
        <v>775</v>
      </c>
      <c r="C152" s="15" t="s">
        <v>776</v>
      </c>
      <c r="D152" s="15" t="s">
        <v>777</v>
      </c>
      <c r="E152" s="15" t="s">
        <v>778</v>
      </c>
      <c r="F152" s="15" t="s">
        <v>779</v>
      </c>
      <c r="G152" s="15" t="s">
        <v>780</v>
      </c>
      <c r="H152" s="15" t="s">
        <v>781</v>
      </c>
      <c r="I152" s="14" t="s">
        <v>24</v>
      </c>
      <c r="J152" s="14" t="s">
        <v>2</v>
      </c>
      <c r="K152" s="16"/>
      <c r="L152" s="17" t="s">
        <v>25</v>
      </c>
      <c r="M152" s="16"/>
      <c r="N152" s="18"/>
      <c r="O152" s="17"/>
      <c r="P152" s="16"/>
    </row>
    <row r="153" spans="1:16" ht="25.5" x14ac:dyDescent="0.25">
      <c r="A153" s="14" t="s">
        <v>782</v>
      </c>
      <c r="B153" s="15" t="s">
        <v>775</v>
      </c>
      <c r="C153" s="15" t="s">
        <v>776</v>
      </c>
      <c r="D153" s="15" t="s">
        <v>783</v>
      </c>
      <c r="E153" s="15" t="s">
        <v>784</v>
      </c>
      <c r="F153" s="15" t="s">
        <v>785</v>
      </c>
      <c r="G153" s="15" t="s">
        <v>120</v>
      </c>
      <c r="H153" s="15" t="s">
        <v>786</v>
      </c>
      <c r="I153" s="14" t="s">
        <v>24</v>
      </c>
      <c r="J153" s="14" t="s">
        <v>2</v>
      </c>
      <c r="K153" s="16"/>
      <c r="L153" s="17" t="s">
        <v>25</v>
      </c>
      <c r="M153" s="16"/>
      <c r="N153" s="18"/>
      <c r="O153" s="17"/>
      <c r="P153" s="16"/>
    </row>
    <row r="154" spans="1:16" ht="38.25" x14ac:dyDescent="0.25">
      <c r="A154" s="14" t="s">
        <v>787</v>
      </c>
      <c r="B154" s="15" t="s">
        <v>775</v>
      </c>
      <c r="C154" s="15" t="s">
        <v>776</v>
      </c>
      <c r="D154" s="15" t="s">
        <v>788</v>
      </c>
      <c r="E154" s="15" t="s">
        <v>784</v>
      </c>
      <c r="F154" s="15" t="s">
        <v>789</v>
      </c>
      <c r="G154" s="15" t="s">
        <v>120</v>
      </c>
      <c r="H154" s="15" t="s">
        <v>790</v>
      </c>
      <c r="I154" s="14" t="s">
        <v>24</v>
      </c>
      <c r="J154" s="14" t="s">
        <v>2</v>
      </c>
      <c r="K154" s="16"/>
      <c r="L154" s="17" t="s">
        <v>25</v>
      </c>
      <c r="M154" s="16"/>
      <c r="N154" s="18"/>
      <c r="O154" s="17"/>
      <c r="P154" s="16"/>
    </row>
    <row r="155" spans="1:16" ht="25.5" x14ac:dyDescent="0.25">
      <c r="A155" s="14" t="s">
        <v>791</v>
      </c>
      <c r="B155" s="15" t="s">
        <v>775</v>
      </c>
      <c r="C155" s="15" t="s">
        <v>776</v>
      </c>
      <c r="D155" s="15" t="s">
        <v>792</v>
      </c>
      <c r="E155" s="15" t="s">
        <v>793</v>
      </c>
      <c r="F155" s="15" t="s">
        <v>794</v>
      </c>
      <c r="G155" s="15" t="s">
        <v>120</v>
      </c>
      <c r="H155" s="15" t="s">
        <v>795</v>
      </c>
      <c r="I155" s="14" t="s">
        <v>38</v>
      </c>
      <c r="J155" s="14" t="s">
        <v>2</v>
      </c>
      <c r="K155" s="16"/>
      <c r="L155" s="17" t="s">
        <v>25</v>
      </c>
      <c r="M155" s="16"/>
      <c r="N155" s="18"/>
      <c r="O155" s="17"/>
      <c r="P155" s="16"/>
    </row>
    <row r="156" spans="1:16" ht="38.25" x14ac:dyDescent="0.25">
      <c r="A156" s="14" t="s">
        <v>796</v>
      </c>
      <c r="B156" s="15" t="s">
        <v>775</v>
      </c>
      <c r="C156" s="15" t="s">
        <v>797</v>
      </c>
      <c r="D156" s="15" t="s">
        <v>798</v>
      </c>
      <c r="E156" s="15" t="s">
        <v>778</v>
      </c>
      <c r="F156" s="15" t="s">
        <v>799</v>
      </c>
      <c r="G156" s="15" t="s">
        <v>800</v>
      </c>
      <c r="H156" s="15" t="s">
        <v>801</v>
      </c>
      <c r="I156" s="14" t="s">
        <v>38</v>
      </c>
      <c r="J156" s="14" t="s">
        <v>2</v>
      </c>
      <c r="K156" s="16"/>
      <c r="L156" s="17" t="s">
        <v>25</v>
      </c>
      <c r="M156" s="16"/>
      <c r="N156" s="18"/>
      <c r="O156" s="17"/>
      <c r="P156" s="16"/>
    </row>
    <row r="157" spans="1:16" x14ac:dyDescent="0.25">
      <c r="A157" s="14" t="s">
        <v>802</v>
      </c>
      <c r="B157" s="15" t="s">
        <v>775</v>
      </c>
      <c r="C157" s="15" t="s">
        <v>797</v>
      </c>
      <c r="D157" s="15" t="s">
        <v>803</v>
      </c>
      <c r="E157" s="15" t="s">
        <v>778</v>
      </c>
      <c r="F157" s="15" t="s">
        <v>804</v>
      </c>
      <c r="G157" s="15" t="s">
        <v>805</v>
      </c>
      <c r="H157" s="15" t="s">
        <v>806</v>
      </c>
      <c r="I157" s="14" t="s">
        <v>24</v>
      </c>
      <c r="J157" s="14" t="s">
        <v>103</v>
      </c>
      <c r="K157" s="16"/>
      <c r="L157" s="17" t="s">
        <v>25</v>
      </c>
      <c r="M157" s="16"/>
      <c r="N157" s="18"/>
      <c r="O157" s="17"/>
      <c r="P157" s="16"/>
    </row>
    <row r="158" spans="1:16" x14ac:dyDescent="0.25">
      <c r="A158" s="14" t="s">
        <v>807</v>
      </c>
      <c r="B158" s="15" t="s">
        <v>775</v>
      </c>
      <c r="C158" s="15" t="s">
        <v>797</v>
      </c>
      <c r="D158" s="15" t="s">
        <v>808</v>
      </c>
      <c r="E158" s="15" t="s">
        <v>809</v>
      </c>
      <c r="F158" s="15" t="s">
        <v>810</v>
      </c>
      <c r="G158" s="15" t="s">
        <v>120</v>
      </c>
      <c r="H158" s="15" t="s">
        <v>811</v>
      </c>
      <c r="I158" s="14" t="s">
        <v>38</v>
      </c>
      <c r="J158" s="14" t="s">
        <v>2</v>
      </c>
      <c r="K158" s="16"/>
      <c r="L158" s="17" t="s">
        <v>25</v>
      </c>
      <c r="M158" s="16"/>
      <c r="N158" s="18"/>
      <c r="O158" s="17"/>
      <c r="P158" s="16"/>
    </row>
    <row r="159" spans="1:16" ht="38.25" x14ac:dyDescent="0.25">
      <c r="A159" s="14" t="s">
        <v>812</v>
      </c>
      <c r="B159" s="15" t="s">
        <v>775</v>
      </c>
      <c r="C159" s="15" t="s">
        <v>797</v>
      </c>
      <c r="D159" s="15" t="s">
        <v>813</v>
      </c>
      <c r="E159" s="15" t="s">
        <v>809</v>
      </c>
      <c r="F159" s="15" t="s">
        <v>814</v>
      </c>
      <c r="G159" s="15" t="s">
        <v>120</v>
      </c>
      <c r="H159" s="15" t="s">
        <v>815</v>
      </c>
      <c r="I159" s="14" t="s">
        <v>24</v>
      </c>
      <c r="J159" s="14" t="s">
        <v>2</v>
      </c>
      <c r="K159" s="16"/>
      <c r="L159" s="17" t="s">
        <v>25</v>
      </c>
      <c r="M159" s="16"/>
      <c r="N159" s="18"/>
      <c r="O159" s="17"/>
      <c r="P159" s="16"/>
    </row>
    <row r="160" spans="1:16" ht="38.25" x14ac:dyDescent="0.25">
      <c r="A160" s="14" t="s">
        <v>816</v>
      </c>
      <c r="B160" s="15" t="s">
        <v>775</v>
      </c>
      <c r="C160" s="15" t="s">
        <v>797</v>
      </c>
      <c r="D160" s="15" t="s">
        <v>817</v>
      </c>
      <c r="E160" s="15" t="s">
        <v>818</v>
      </c>
      <c r="F160" s="15" t="s">
        <v>819</v>
      </c>
      <c r="G160" s="15" t="s">
        <v>120</v>
      </c>
      <c r="H160" s="15" t="s">
        <v>820</v>
      </c>
      <c r="I160" s="14" t="s">
        <v>50</v>
      </c>
      <c r="J160" s="14" t="s">
        <v>2</v>
      </c>
      <c r="K160" s="16"/>
      <c r="L160" s="17" t="s">
        <v>25</v>
      </c>
      <c r="M160" s="16"/>
      <c r="N160" s="18"/>
      <c r="O160" s="17"/>
      <c r="P160" s="16"/>
    </row>
    <row r="161" spans="1:16" ht="25.5" x14ac:dyDescent="0.25">
      <c r="A161" s="14" t="s">
        <v>821</v>
      </c>
      <c r="B161" s="15" t="s">
        <v>775</v>
      </c>
      <c r="C161" s="15" t="s">
        <v>797</v>
      </c>
      <c r="D161" s="15" t="s">
        <v>822</v>
      </c>
      <c r="E161" s="15" t="s">
        <v>823</v>
      </c>
      <c r="F161" s="15" t="s">
        <v>824</v>
      </c>
      <c r="G161" s="15" t="s">
        <v>120</v>
      </c>
      <c r="H161" s="15" t="s">
        <v>348</v>
      </c>
      <c r="I161" s="14" t="s">
        <v>38</v>
      </c>
      <c r="J161" s="14" t="s">
        <v>103</v>
      </c>
      <c r="K161" s="16"/>
      <c r="L161" s="17" t="s">
        <v>25</v>
      </c>
      <c r="M161" s="16"/>
      <c r="N161" s="18"/>
      <c r="O161" s="17"/>
      <c r="P161" s="16"/>
    </row>
    <row r="162" spans="1:16" ht="38.25" x14ac:dyDescent="0.25">
      <c r="A162" s="14" t="s">
        <v>825</v>
      </c>
      <c r="B162" s="15" t="s">
        <v>775</v>
      </c>
      <c r="C162" s="15" t="s">
        <v>826</v>
      </c>
      <c r="D162" s="15" t="s">
        <v>827</v>
      </c>
      <c r="E162" s="15" t="s">
        <v>778</v>
      </c>
      <c r="F162" s="15" t="s">
        <v>828</v>
      </c>
      <c r="G162" s="15" t="s">
        <v>829</v>
      </c>
      <c r="H162" s="15" t="s">
        <v>830</v>
      </c>
      <c r="I162" s="14" t="s">
        <v>24</v>
      </c>
      <c r="J162" s="14" t="s">
        <v>2</v>
      </c>
      <c r="K162" s="16"/>
      <c r="L162" s="17" t="s">
        <v>25</v>
      </c>
      <c r="M162" s="16"/>
      <c r="N162" s="18"/>
      <c r="O162" s="17"/>
      <c r="P162" s="16"/>
    </row>
    <row r="163" spans="1:16" ht="25.5" x14ac:dyDescent="0.25">
      <c r="A163" s="14" t="s">
        <v>831</v>
      </c>
      <c r="B163" s="15" t="s">
        <v>775</v>
      </c>
      <c r="C163" s="15" t="s">
        <v>826</v>
      </c>
      <c r="D163" s="15" t="s">
        <v>832</v>
      </c>
      <c r="E163" s="15" t="s">
        <v>778</v>
      </c>
      <c r="F163" s="15" t="s">
        <v>833</v>
      </c>
      <c r="G163" s="15" t="s">
        <v>834</v>
      </c>
      <c r="H163" s="15" t="s">
        <v>835</v>
      </c>
      <c r="I163" s="14" t="s">
        <v>38</v>
      </c>
      <c r="J163" s="14" t="s">
        <v>32</v>
      </c>
      <c r="K163" s="16"/>
      <c r="L163" s="17" t="s">
        <v>25</v>
      </c>
      <c r="M163" s="16"/>
      <c r="N163" s="18"/>
      <c r="O163" s="17"/>
      <c r="P163" s="16"/>
    </row>
    <row r="164" spans="1:16" ht="25.5" x14ac:dyDescent="0.25">
      <c r="A164" s="14" t="s">
        <v>836</v>
      </c>
      <c r="B164" s="15" t="s">
        <v>775</v>
      </c>
      <c r="C164" s="15" t="s">
        <v>826</v>
      </c>
      <c r="D164" s="15" t="s">
        <v>837</v>
      </c>
      <c r="E164" s="15" t="s">
        <v>778</v>
      </c>
      <c r="F164" s="15" t="s">
        <v>838</v>
      </c>
      <c r="G164" s="15" t="s">
        <v>839</v>
      </c>
      <c r="H164" s="15" t="s">
        <v>840</v>
      </c>
      <c r="I164" s="14" t="s">
        <v>50</v>
      </c>
      <c r="J164" s="14" t="s">
        <v>44</v>
      </c>
      <c r="K164" s="16"/>
      <c r="L164" s="17" t="s">
        <v>25</v>
      </c>
      <c r="M164" s="16"/>
      <c r="N164" s="18"/>
      <c r="O164" s="17"/>
      <c r="P164" s="16"/>
    </row>
    <row r="165" spans="1:16" ht="25.5" x14ac:dyDescent="0.25">
      <c r="A165" s="14" t="s">
        <v>841</v>
      </c>
      <c r="B165" s="15" t="s">
        <v>775</v>
      </c>
      <c r="C165" s="15" t="s">
        <v>826</v>
      </c>
      <c r="D165" s="15" t="s">
        <v>842</v>
      </c>
      <c r="E165" s="15" t="s">
        <v>778</v>
      </c>
      <c r="F165" s="15" t="s">
        <v>843</v>
      </c>
      <c r="G165" s="15" t="s">
        <v>844</v>
      </c>
      <c r="H165" s="15" t="s">
        <v>845</v>
      </c>
      <c r="I165" s="14" t="s">
        <v>38</v>
      </c>
      <c r="J165" s="14" t="s">
        <v>44</v>
      </c>
      <c r="K165" s="16"/>
      <c r="L165" s="17" t="s">
        <v>25</v>
      </c>
      <c r="M165" s="16"/>
      <c r="N165" s="18"/>
      <c r="O165" s="17"/>
      <c r="P165" s="16"/>
    </row>
    <row r="166" spans="1:16" ht="25.5" x14ac:dyDescent="0.25">
      <c r="A166" s="14" t="s">
        <v>846</v>
      </c>
      <c r="B166" s="15" t="s">
        <v>775</v>
      </c>
      <c r="C166" s="15" t="s">
        <v>826</v>
      </c>
      <c r="D166" s="15" t="s">
        <v>847</v>
      </c>
      <c r="E166" s="15" t="s">
        <v>848</v>
      </c>
      <c r="F166" s="15" t="s">
        <v>849</v>
      </c>
      <c r="G166" s="15" t="s">
        <v>120</v>
      </c>
      <c r="H166" s="15" t="s">
        <v>850</v>
      </c>
      <c r="I166" s="14" t="s">
        <v>38</v>
      </c>
      <c r="J166" s="14" t="s">
        <v>32</v>
      </c>
      <c r="K166" s="16"/>
      <c r="L166" s="17" t="s">
        <v>25</v>
      </c>
      <c r="M166" s="16"/>
      <c r="N166" s="18"/>
      <c r="O166" s="17"/>
      <c r="P166" s="16"/>
    </row>
    <row r="167" spans="1:16" ht="38.25" x14ac:dyDescent="0.25">
      <c r="A167" s="14" t="s">
        <v>851</v>
      </c>
      <c r="B167" s="15" t="s">
        <v>775</v>
      </c>
      <c r="C167" s="15" t="s">
        <v>826</v>
      </c>
      <c r="D167" s="15" t="s">
        <v>852</v>
      </c>
      <c r="E167" s="15" t="s">
        <v>853</v>
      </c>
      <c r="F167" s="15" t="s">
        <v>854</v>
      </c>
      <c r="G167" s="15" t="s">
        <v>120</v>
      </c>
      <c r="H167" s="15" t="s">
        <v>855</v>
      </c>
      <c r="I167" s="14" t="s">
        <v>50</v>
      </c>
      <c r="J167" s="14" t="s">
        <v>110</v>
      </c>
      <c r="K167" s="16"/>
      <c r="L167" s="17" t="s">
        <v>25</v>
      </c>
      <c r="M167" s="16"/>
      <c r="N167" s="18"/>
      <c r="O167" s="17"/>
      <c r="P167" s="16"/>
    </row>
    <row r="168" spans="1:16" ht="38.25" x14ac:dyDescent="0.25">
      <c r="A168" s="14" t="s">
        <v>856</v>
      </c>
      <c r="B168" s="15" t="s">
        <v>775</v>
      </c>
      <c r="C168" s="15" t="s">
        <v>826</v>
      </c>
      <c r="D168" s="15" t="s">
        <v>857</v>
      </c>
      <c r="E168" s="15" t="s">
        <v>778</v>
      </c>
      <c r="F168" s="15" t="s">
        <v>858</v>
      </c>
      <c r="G168" s="15" t="s">
        <v>120</v>
      </c>
      <c r="H168" s="15" t="s">
        <v>859</v>
      </c>
      <c r="I168" s="14" t="s">
        <v>50</v>
      </c>
      <c r="J168" s="14" t="s">
        <v>2</v>
      </c>
      <c r="K168" s="16"/>
      <c r="L168" s="17" t="s">
        <v>25</v>
      </c>
      <c r="M168" s="16"/>
      <c r="N168" s="18"/>
      <c r="O168" s="17"/>
      <c r="P168" s="16"/>
    </row>
    <row r="169" spans="1:16" ht="25.5" x14ac:dyDescent="0.25">
      <c r="A169" s="14" t="s">
        <v>860</v>
      </c>
      <c r="B169" s="15" t="s">
        <v>775</v>
      </c>
      <c r="C169" s="15" t="s">
        <v>861</v>
      </c>
      <c r="D169" s="15" t="s">
        <v>862</v>
      </c>
      <c r="E169" s="15" t="s">
        <v>863</v>
      </c>
      <c r="F169" s="15" t="s">
        <v>864</v>
      </c>
      <c r="G169" s="15" t="s">
        <v>120</v>
      </c>
      <c r="H169" s="15" t="s">
        <v>865</v>
      </c>
      <c r="I169" s="14" t="s">
        <v>38</v>
      </c>
      <c r="J169" s="14" t="s">
        <v>2</v>
      </c>
      <c r="K169" s="16"/>
      <c r="L169" s="17" t="s">
        <v>25</v>
      </c>
      <c r="M169" s="16"/>
      <c r="N169" s="18"/>
      <c r="O169" s="17"/>
      <c r="P169" s="16"/>
    </row>
    <row r="170" spans="1:16" ht="25.5" x14ac:dyDescent="0.25">
      <c r="A170" s="14" t="s">
        <v>866</v>
      </c>
      <c r="B170" s="15" t="s">
        <v>775</v>
      </c>
      <c r="C170" s="15" t="s">
        <v>861</v>
      </c>
      <c r="D170" s="15" t="s">
        <v>867</v>
      </c>
      <c r="E170" s="15" t="s">
        <v>863</v>
      </c>
      <c r="F170" s="15" t="s">
        <v>868</v>
      </c>
      <c r="G170" s="15" t="s">
        <v>120</v>
      </c>
      <c r="H170" s="15" t="s">
        <v>869</v>
      </c>
      <c r="I170" s="14" t="s">
        <v>24</v>
      </c>
      <c r="J170" s="14" t="s">
        <v>2</v>
      </c>
      <c r="K170" s="16"/>
      <c r="L170" s="17" t="s">
        <v>25</v>
      </c>
      <c r="M170" s="16"/>
      <c r="N170" s="18"/>
      <c r="O170" s="17"/>
      <c r="P170" s="16"/>
    </row>
    <row r="171" spans="1:16" ht="25.5" x14ac:dyDescent="0.25">
      <c r="A171" s="14" t="s">
        <v>870</v>
      </c>
      <c r="B171" s="15" t="s">
        <v>775</v>
      </c>
      <c r="C171" s="15" t="s">
        <v>861</v>
      </c>
      <c r="D171" s="15" t="s">
        <v>871</v>
      </c>
      <c r="E171" s="15" t="s">
        <v>872</v>
      </c>
      <c r="F171" s="15" t="s">
        <v>873</v>
      </c>
      <c r="G171" s="15" t="s">
        <v>120</v>
      </c>
      <c r="H171" s="15" t="s">
        <v>874</v>
      </c>
      <c r="I171" s="14" t="s">
        <v>38</v>
      </c>
      <c r="J171" s="14" t="s">
        <v>2</v>
      </c>
      <c r="K171" s="16"/>
      <c r="L171" s="17" t="s">
        <v>25</v>
      </c>
      <c r="M171" s="16"/>
      <c r="N171" s="18"/>
      <c r="O171" s="17"/>
      <c r="P171" s="16"/>
    </row>
    <row r="172" spans="1:16" ht="38.25" x14ac:dyDescent="0.25">
      <c r="A172" s="14" t="s">
        <v>875</v>
      </c>
      <c r="B172" s="15" t="s">
        <v>775</v>
      </c>
      <c r="C172" s="15" t="s">
        <v>861</v>
      </c>
      <c r="D172" s="15" t="s">
        <v>876</v>
      </c>
      <c r="E172" s="15" t="s">
        <v>778</v>
      </c>
      <c r="F172" s="15" t="s">
        <v>877</v>
      </c>
      <c r="G172" s="15" t="s">
        <v>120</v>
      </c>
      <c r="H172" s="15" t="s">
        <v>878</v>
      </c>
      <c r="I172" s="14" t="s">
        <v>38</v>
      </c>
      <c r="J172" s="14" t="s">
        <v>2</v>
      </c>
      <c r="K172" s="16"/>
      <c r="L172" s="17" t="s">
        <v>25</v>
      </c>
      <c r="M172" s="16"/>
      <c r="N172" s="18"/>
      <c r="O172" s="17"/>
      <c r="P172" s="16"/>
    </row>
    <row r="173" spans="1:16" ht="25.5" x14ac:dyDescent="0.25">
      <c r="A173" s="14" t="s">
        <v>879</v>
      </c>
      <c r="B173" s="15" t="s">
        <v>775</v>
      </c>
      <c r="C173" s="15" t="s">
        <v>861</v>
      </c>
      <c r="D173" s="15" t="s">
        <v>880</v>
      </c>
      <c r="E173" s="15" t="s">
        <v>778</v>
      </c>
      <c r="F173" s="15" t="s">
        <v>881</v>
      </c>
      <c r="G173" s="15" t="s">
        <v>120</v>
      </c>
      <c r="H173" s="15" t="s">
        <v>882</v>
      </c>
      <c r="I173" s="14" t="s">
        <v>50</v>
      </c>
      <c r="J173" s="14" t="s">
        <v>2</v>
      </c>
      <c r="K173" s="16"/>
      <c r="L173" s="17" t="s">
        <v>25</v>
      </c>
      <c r="M173" s="16"/>
      <c r="N173" s="18"/>
      <c r="O173" s="17"/>
      <c r="P173" s="16"/>
    </row>
    <row r="174" spans="1:16" ht="25.5" x14ac:dyDescent="0.25">
      <c r="A174" s="14" t="s">
        <v>883</v>
      </c>
      <c r="B174" s="15" t="s">
        <v>775</v>
      </c>
      <c r="C174" s="15" t="s">
        <v>861</v>
      </c>
      <c r="D174" s="15" t="s">
        <v>884</v>
      </c>
      <c r="E174" s="15" t="s">
        <v>885</v>
      </c>
      <c r="F174" s="15" t="s">
        <v>886</v>
      </c>
      <c r="G174" s="15" t="s">
        <v>120</v>
      </c>
      <c r="H174" s="15" t="s">
        <v>887</v>
      </c>
      <c r="I174" s="14" t="s">
        <v>50</v>
      </c>
      <c r="J174" s="14" t="s">
        <v>2</v>
      </c>
      <c r="K174" s="16"/>
      <c r="L174" s="17" t="s">
        <v>25</v>
      </c>
      <c r="M174" s="16"/>
      <c r="N174" s="18"/>
      <c r="O174" s="17"/>
      <c r="P174" s="16"/>
    </row>
    <row r="175" spans="1:16" ht="25.5" x14ac:dyDescent="0.25">
      <c r="A175" s="14" t="s">
        <v>888</v>
      </c>
      <c r="B175" s="15" t="s">
        <v>775</v>
      </c>
      <c r="C175" s="15" t="s">
        <v>861</v>
      </c>
      <c r="D175" s="15" t="s">
        <v>889</v>
      </c>
      <c r="E175" s="15" t="s">
        <v>890</v>
      </c>
      <c r="F175" s="15" t="s">
        <v>891</v>
      </c>
      <c r="G175" s="15" t="s">
        <v>120</v>
      </c>
      <c r="H175" s="15" t="s">
        <v>892</v>
      </c>
      <c r="I175" s="14" t="s">
        <v>50</v>
      </c>
      <c r="J175" s="14" t="s">
        <v>2</v>
      </c>
      <c r="K175" s="16"/>
      <c r="L175" s="17" t="s">
        <v>25</v>
      </c>
      <c r="M175" s="16"/>
      <c r="N175" s="18"/>
      <c r="O175" s="17"/>
      <c r="P175" s="16"/>
    </row>
    <row r="176" spans="1:16" ht="25.5" x14ac:dyDescent="0.25">
      <c r="A176" s="14" t="s">
        <v>893</v>
      </c>
      <c r="B176" s="15" t="s">
        <v>775</v>
      </c>
      <c r="C176" s="15" t="s">
        <v>861</v>
      </c>
      <c r="D176" s="15" t="s">
        <v>894</v>
      </c>
      <c r="E176" s="15" t="s">
        <v>715</v>
      </c>
      <c r="F176" s="15" t="s">
        <v>895</v>
      </c>
      <c r="G176" s="15" t="s">
        <v>120</v>
      </c>
      <c r="H176" s="15" t="s">
        <v>896</v>
      </c>
      <c r="I176" s="14" t="s">
        <v>38</v>
      </c>
      <c r="J176" s="14" t="s">
        <v>2</v>
      </c>
      <c r="K176" s="16"/>
      <c r="L176" s="17" t="s">
        <v>25</v>
      </c>
      <c r="M176" s="16"/>
      <c r="N176" s="18"/>
      <c r="O176" s="17"/>
      <c r="P176" s="16"/>
    </row>
    <row r="177" spans="1:16" ht="25.5" x14ac:dyDescent="0.25">
      <c r="A177" s="14" t="s">
        <v>897</v>
      </c>
      <c r="B177" s="15" t="s">
        <v>606</v>
      </c>
      <c r="C177" s="15" t="s">
        <v>898</v>
      </c>
      <c r="D177" s="15" t="s">
        <v>899</v>
      </c>
      <c r="E177" s="15" t="s">
        <v>900</v>
      </c>
      <c r="F177" s="15" t="s">
        <v>901</v>
      </c>
      <c r="G177" s="15" t="s">
        <v>120</v>
      </c>
      <c r="H177" s="15" t="s">
        <v>902</v>
      </c>
      <c r="I177" s="14" t="s">
        <v>24</v>
      </c>
      <c r="J177" s="14" t="s">
        <v>2</v>
      </c>
      <c r="K177" s="16"/>
      <c r="L177" s="17" t="s">
        <v>25</v>
      </c>
      <c r="M177" s="16"/>
      <c r="N177" s="18"/>
      <c r="O177" s="17"/>
      <c r="P177" s="16"/>
    </row>
    <row r="178" spans="1:16" x14ac:dyDescent="0.25">
      <c r="A178" s="14" t="s">
        <v>903</v>
      </c>
      <c r="B178" s="15" t="s">
        <v>606</v>
      </c>
      <c r="C178" s="15" t="s">
        <v>898</v>
      </c>
      <c r="D178" s="15" t="s">
        <v>904</v>
      </c>
      <c r="E178" s="15" t="s">
        <v>663</v>
      </c>
      <c r="F178" s="15" t="s">
        <v>664</v>
      </c>
      <c r="G178" s="15" t="s">
        <v>120</v>
      </c>
      <c r="H178" s="15" t="s">
        <v>905</v>
      </c>
      <c r="I178" s="14" t="s">
        <v>50</v>
      </c>
      <c r="J178" s="14" t="s">
        <v>2</v>
      </c>
      <c r="K178" s="16"/>
      <c r="L178" s="17" t="s">
        <v>25</v>
      </c>
      <c r="M178" s="16"/>
      <c r="N178" s="18"/>
      <c r="O178" s="17"/>
      <c r="P178" s="16"/>
    </row>
    <row r="179" spans="1:16" ht="25.5" x14ac:dyDescent="0.25">
      <c r="A179" s="14" t="s">
        <v>906</v>
      </c>
      <c r="B179" s="15" t="s">
        <v>606</v>
      </c>
      <c r="C179" s="15" t="s">
        <v>898</v>
      </c>
      <c r="D179" s="15" t="s">
        <v>907</v>
      </c>
      <c r="E179" s="15" t="s">
        <v>908</v>
      </c>
      <c r="F179" s="15" t="s">
        <v>909</v>
      </c>
      <c r="G179" s="15" t="s">
        <v>120</v>
      </c>
      <c r="H179" s="15" t="s">
        <v>910</v>
      </c>
      <c r="I179" s="14" t="s">
        <v>24</v>
      </c>
      <c r="J179" s="14" t="s">
        <v>2</v>
      </c>
      <c r="K179" s="16"/>
      <c r="L179" s="17" t="s">
        <v>25</v>
      </c>
      <c r="M179" s="16"/>
      <c r="N179" s="18"/>
      <c r="O179" s="17"/>
      <c r="P179" s="16"/>
    </row>
    <row r="180" spans="1:16" ht="25.5" x14ac:dyDescent="0.25">
      <c r="A180" s="14" t="s">
        <v>911</v>
      </c>
      <c r="B180" s="15" t="s">
        <v>912</v>
      </c>
      <c r="C180" s="15" t="s">
        <v>913</v>
      </c>
      <c r="D180" s="15" t="s">
        <v>914</v>
      </c>
      <c r="E180" s="15" t="s">
        <v>915</v>
      </c>
      <c r="F180" s="15" t="s">
        <v>916</v>
      </c>
      <c r="G180" s="15" t="s">
        <v>120</v>
      </c>
      <c r="H180" s="15" t="s">
        <v>917</v>
      </c>
      <c r="I180" s="14" t="s">
        <v>24</v>
      </c>
      <c r="J180" s="14" t="s">
        <v>2</v>
      </c>
      <c r="K180" s="16"/>
      <c r="L180" s="17" t="s">
        <v>25</v>
      </c>
      <c r="M180" s="16"/>
      <c r="N180" s="18"/>
      <c r="O180" s="17"/>
      <c r="P180" s="16"/>
    </row>
    <row r="181" spans="1:16" ht="25.5" x14ac:dyDescent="0.25">
      <c r="A181" s="14" t="s">
        <v>918</v>
      </c>
      <c r="B181" s="15" t="s">
        <v>912</v>
      </c>
      <c r="C181" s="15" t="s">
        <v>913</v>
      </c>
      <c r="D181" s="15" t="s">
        <v>919</v>
      </c>
      <c r="E181" s="15" t="s">
        <v>920</v>
      </c>
      <c r="F181" s="15" t="s">
        <v>921</v>
      </c>
      <c r="G181" s="15" t="s">
        <v>120</v>
      </c>
      <c r="H181" s="15" t="s">
        <v>922</v>
      </c>
      <c r="I181" s="14" t="s">
        <v>24</v>
      </c>
      <c r="J181" s="14" t="s">
        <v>44</v>
      </c>
      <c r="K181" s="16"/>
      <c r="L181" s="17" t="s">
        <v>25</v>
      </c>
      <c r="M181" s="16"/>
      <c r="N181" s="18"/>
      <c r="O181" s="17"/>
      <c r="P181" s="16"/>
    </row>
    <row r="182" spans="1:16" ht="25.5" x14ac:dyDescent="0.25">
      <c r="A182" s="14" t="s">
        <v>923</v>
      </c>
      <c r="B182" s="15" t="s">
        <v>912</v>
      </c>
      <c r="C182" s="15" t="s">
        <v>913</v>
      </c>
      <c r="D182" s="15" t="s">
        <v>924</v>
      </c>
      <c r="E182" s="15" t="s">
        <v>925</v>
      </c>
      <c r="F182" s="15" t="s">
        <v>921</v>
      </c>
      <c r="G182" s="15" t="s">
        <v>120</v>
      </c>
      <c r="H182" s="15" t="s">
        <v>926</v>
      </c>
      <c r="I182" s="14" t="s">
        <v>38</v>
      </c>
      <c r="J182" s="14" t="s">
        <v>44</v>
      </c>
      <c r="K182" s="16"/>
      <c r="L182" s="17" t="s">
        <v>25</v>
      </c>
      <c r="M182" s="16"/>
      <c r="N182" s="18"/>
      <c r="O182" s="17"/>
      <c r="P182" s="16"/>
    </row>
    <row r="183" spans="1:16" ht="25.5" x14ac:dyDescent="0.25">
      <c r="A183" s="14" t="s">
        <v>927</v>
      </c>
      <c r="B183" s="15" t="s">
        <v>912</v>
      </c>
      <c r="C183" s="15" t="s">
        <v>913</v>
      </c>
      <c r="D183" s="15" t="s">
        <v>928</v>
      </c>
      <c r="E183" s="15" t="s">
        <v>929</v>
      </c>
      <c r="F183" s="15" t="s">
        <v>930</v>
      </c>
      <c r="G183" s="15" t="s">
        <v>120</v>
      </c>
      <c r="H183" s="15" t="s">
        <v>931</v>
      </c>
      <c r="I183" s="14" t="s">
        <v>24</v>
      </c>
      <c r="J183" s="14" t="s">
        <v>44</v>
      </c>
      <c r="K183" s="16"/>
      <c r="L183" s="17" t="s">
        <v>25</v>
      </c>
      <c r="M183" s="16"/>
      <c r="N183" s="18"/>
      <c r="O183" s="17"/>
      <c r="P183" s="16"/>
    </row>
    <row r="184" spans="1:16" ht="25.5" x14ac:dyDescent="0.25">
      <c r="A184" s="14" t="s">
        <v>932</v>
      </c>
      <c r="B184" s="15" t="s">
        <v>912</v>
      </c>
      <c r="C184" s="15" t="s">
        <v>913</v>
      </c>
      <c r="D184" s="15" t="s">
        <v>933</v>
      </c>
      <c r="E184" s="15" t="s">
        <v>934</v>
      </c>
      <c r="F184" s="15" t="s">
        <v>921</v>
      </c>
      <c r="G184" s="15" t="s">
        <v>120</v>
      </c>
      <c r="H184" s="15" t="s">
        <v>935</v>
      </c>
      <c r="I184" s="14" t="s">
        <v>38</v>
      </c>
      <c r="J184" s="14" t="s">
        <v>32</v>
      </c>
      <c r="K184" s="16"/>
      <c r="L184" s="17" t="s">
        <v>25</v>
      </c>
      <c r="M184" s="16"/>
      <c r="N184" s="18"/>
      <c r="O184" s="17"/>
      <c r="P184" s="16"/>
    </row>
    <row r="185" spans="1:16" ht="25.5" x14ac:dyDescent="0.25">
      <c r="A185" s="14" t="s">
        <v>936</v>
      </c>
      <c r="B185" s="15" t="s">
        <v>912</v>
      </c>
      <c r="C185" s="15" t="s">
        <v>913</v>
      </c>
      <c r="D185" s="15" t="s">
        <v>937</v>
      </c>
      <c r="E185" s="15" t="s">
        <v>938</v>
      </c>
      <c r="F185" s="15" t="s">
        <v>939</v>
      </c>
      <c r="G185" s="15" t="s">
        <v>120</v>
      </c>
      <c r="H185" s="15" t="s">
        <v>940</v>
      </c>
      <c r="I185" s="14" t="s">
        <v>38</v>
      </c>
      <c r="J185" s="14" t="s">
        <v>32</v>
      </c>
      <c r="K185" s="16"/>
      <c r="L185" s="17" t="s">
        <v>25</v>
      </c>
      <c r="M185" s="16"/>
      <c r="N185" s="18"/>
      <c r="O185" s="17"/>
      <c r="P185" s="16"/>
    </row>
    <row r="186" spans="1:16" ht="25.5" x14ac:dyDescent="0.25">
      <c r="A186" s="14" t="s">
        <v>941</v>
      </c>
      <c r="B186" s="15" t="s">
        <v>912</v>
      </c>
      <c r="C186" s="15" t="s">
        <v>913</v>
      </c>
      <c r="D186" s="15" t="s">
        <v>942</v>
      </c>
      <c r="E186" s="15" t="s">
        <v>943</v>
      </c>
      <c r="F186" s="15" t="s">
        <v>944</v>
      </c>
      <c r="G186" s="15" t="s">
        <v>120</v>
      </c>
      <c r="H186" s="15" t="s">
        <v>945</v>
      </c>
      <c r="I186" s="14" t="s">
        <v>38</v>
      </c>
      <c r="J186" s="14" t="s">
        <v>44</v>
      </c>
      <c r="K186" s="16"/>
      <c r="L186" s="17" t="s">
        <v>25</v>
      </c>
      <c r="M186" s="16"/>
      <c r="N186" s="18"/>
      <c r="O186" s="17"/>
      <c r="P186" s="16"/>
    </row>
    <row r="187" spans="1:16" ht="25.5" x14ac:dyDescent="0.25">
      <c r="A187" s="14" t="s">
        <v>946</v>
      </c>
      <c r="B187" s="15" t="s">
        <v>912</v>
      </c>
      <c r="C187" s="15" t="s">
        <v>913</v>
      </c>
      <c r="D187" s="15" t="s">
        <v>947</v>
      </c>
      <c r="E187" s="15" t="s">
        <v>948</v>
      </c>
      <c r="F187" s="15" t="s">
        <v>949</v>
      </c>
      <c r="G187" s="15" t="s">
        <v>120</v>
      </c>
      <c r="H187" s="15" t="s">
        <v>950</v>
      </c>
      <c r="I187" s="14" t="s">
        <v>38</v>
      </c>
      <c r="J187" s="14" t="s">
        <v>32</v>
      </c>
      <c r="K187" s="16"/>
      <c r="L187" s="17" t="s">
        <v>25</v>
      </c>
      <c r="M187" s="16"/>
      <c r="N187" s="18"/>
      <c r="O187" s="17"/>
      <c r="P187" s="16"/>
    </row>
    <row r="188" spans="1:16" ht="25.5" x14ac:dyDescent="0.25">
      <c r="A188" s="14" t="s">
        <v>951</v>
      </c>
      <c r="B188" s="15" t="s">
        <v>912</v>
      </c>
      <c r="C188" s="15" t="s">
        <v>913</v>
      </c>
      <c r="D188" s="15" t="s">
        <v>952</v>
      </c>
      <c r="E188" s="15" t="s">
        <v>120</v>
      </c>
      <c r="F188" s="15" t="s">
        <v>953</v>
      </c>
      <c r="G188" s="15" t="s">
        <v>120</v>
      </c>
      <c r="H188" s="15" t="s">
        <v>954</v>
      </c>
      <c r="I188" s="14" t="s">
        <v>24</v>
      </c>
      <c r="J188" s="14" t="s">
        <v>103</v>
      </c>
      <c r="K188" s="16"/>
      <c r="L188" s="17" t="s">
        <v>25</v>
      </c>
      <c r="M188" s="16"/>
      <c r="N188" s="18"/>
      <c r="O188" s="17"/>
      <c r="P188" s="16"/>
    </row>
    <row r="189" spans="1:16" ht="25.5" x14ac:dyDescent="0.25">
      <c r="A189" s="14" t="s">
        <v>955</v>
      </c>
      <c r="B189" s="15" t="s">
        <v>912</v>
      </c>
      <c r="C189" s="15" t="s">
        <v>913</v>
      </c>
      <c r="D189" s="15" t="s">
        <v>956</v>
      </c>
      <c r="E189" s="15" t="s">
        <v>957</v>
      </c>
      <c r="F189" s="15" t="s">
        <v>958</v>
      </c>
      <c r="G189" s="15" t="s">
        <v>120</v>
      </c>
      <c r="H189" s="15" t="s">
        <v>959</v>
      </c>
      <c r="I189" s="14" t="s">
        <v>38</v>
      </c>
      <c r="J189" s="14" t="s">
        <v>103</v>
      </c>
      <c r="K189" s="16"/>
      <c r="L189" s="17" t="s">
        <v>25</v>
      </c>
      <c r="M189" s="16"/>
      <c r="N189" s="18"/>
      <c r="O189" s="17"/>
      <c r="P189" s="16"/>
    </row>
    <row r="190" spans="1:16" ht="25.5" x14ac:dyDescent="0.25">
      <c r="A190" s="14" t="s">
        <v>960</v>
      </c>
      <c r="B190" s="15" t="s">
        <v>912</v>
      </c>
      <c r="C190" s="15" t="s">
        <v>913</v>
      </c>
      <c r="D190" s="15" t="s">
        <v>961</v>
      </c>
      <c r="E190" s="15" t="s">
        <v>120</v>
      </c>
      <c r="F190" s="15" t="s">
        <v>962</v>
      </c>
      <c r="G190" s="15" t="s">
        <v>120</v>
      </c>
      <c r="H190" s="15" t="s">
        <v>963</v>
      </c>
      <c r="I190" s="14" t="s">
        <v>24</v>
      </c>
      <c r="J190" s="14" t="s">
        <v>103</v>
      </c>
      <c r="K190" s="16"/>
      <c r="L190" s="17" t="s">
        <v>25</v>
      </c>
      <c r="M190" s="16"/>
      <c r="N190" s="18"/>
      <c r="O190" s="17"/>
      <c r="P190" s="16"/>
    </row>
    <row r="191" spans="1:16" ht="25.5" x14ac:dyDescent="0.25">
      <c r="A191" s="14" t="s">
        <v>964</v>
      </c>
      <c r="B191" s="15" t="s">
        <v>912</v>
      </c>
      <c r="C191" s="15" t="s">
        <v>913</v>
      </c>
      <c r="D191" s="15" t="s">
        <v>965</v>
      </c>
      <c r="E191" s="15" t="s">
        <v>966</v>
      </c>
      <c r="F191" s="15" t="s">
        <v>921</v>
      </c>
      <c r="G191" s="15" t="s">
        <v>120</v>
      </c>
      <c r="H191" s="15" t="s">
        <v>967</v>
      </c>
      <c r="I191" s="14" t="s">
        <v>50</v>
      </c>
      <c r="J191" s="14" t="s">
        <v>2</v>
      </c>
      <c r="K191" s="16"/>
      <c r="L191" s="17" t="s">
        <v>25</v>
      </c>
      <c r="M191" s="16"/>
      <c r="N191" s="18"/>
      <c r="O191" s="17"/>
      <c r="P191" s="16"/>
    </row>
    <row r="192" spans="1:16" ht="25.5" x14ac:dyDescent="0.25">
      <c r="A192" s="14" t="s">
        <v>968</v>
      </c>
      <c r="B192" s="15" t="s">
        <v>969</v>
      </c>
      <c r="C192" s="15" t="s">
        <v>970</v>
      </c>
      <c r="D192" s="15" t="s">
        <v>971</v>
      </c>
      <c r="E192" s="15" t="s">
        <v>120</v>
      </c>
      <c r="F192" s="15" t="s">
        <v>972</v>
      </c>
      <c r="G192" s="15" t="s">
        <v>973</v>
      </c>
      <c r="H192" s="15" t="s">
        <v>974</v>
      </c>
      <c r="I192" s="14" t="s">
        <v>24</v>
      </c>
      <c r="J192" s="14" t="s">
        <v>172</v>
      </c>
      <c r="K192" s="16"/>
      <c r="L192" s="17" t="s">
        <v>25</v>
      </c>
      <c r="M192" s="16"/>
      <c r="N192" s="18"/>
      <c r="O192" s="17"/>
      <c r="P192" s="16"/>
    </row>
    <row r="193" spans="1:16" ht="25.5" x14ac:dyDescent="0.25">
      <c r="A193" s="14" t="s">
        <v>975</v>
      </c>
      <c r="B193" s="15" t="s">
        <v>969</v>
      </c>
      <c r="C193" s="15" t="s">
        <v>970</v>
      </c>
      <c r="D193" s="15" t="s">
        <v>976</v>
      </c>
      <c r="E193" s="15" t="s">
        <v>120</v>
      </c>
      <c r="F193" s="15" t="s">
        <v>977</v>
      </c>
      <c r="G193" s="15" t="s">
        <v>120</v>
      </c>
      <c r="H193" s="15" t="s">
        <v>978</v>
      </c>
      <c r="I193" s="14" t="s">
        <v>38</v>
      </c>
      <c r="J193" s="14" t="s">
        <v>172</v>
      </c>
      <c r="K193" s="16"/>
      <c r="L193" s="17" t="s">
        <v>25</v>
      </c>
      <c r="M193" s="16"/>
      <c r="N193" s="18"/>
      <c r="O193" s="17"/>
      <c r="P193" s="16"/>
    </row>
    <row r="194" spans="1:16" ht="25.5" x14ac:dyDescent="0.25">
      <c r="A194" s="14" t="s">
        <v>979</v>
      </c>
      <c r="B194" s="15" t="s">
        <v>969</v>
      </c>
      <c r="C194" s="15" t="s">
        <v>970</v>
      </c>
      <c r="D194" s="15" t="s">
        <v>980</v>
      </c>
      <c r="E194" s="15" t="s">
        <v>120</v>
      </c>
      <c r="F194" s="15" t="s">
        <v>981</v>
      </c>
      <c r="G194" s="15" t="s">
        <v>120</v>
      </c>
      <c r="H194" s="15" t="s">
        <v>982</v>
      </c>
      <c r="I194" s="14" t="s">
        <v>38</v>
      </c>
      <c r="J194" s="14" t="s">
        <v>983</v>
      </c>
      <c r="K194" s="16"/>
      <c r="L194" s="17" t="s">
        <v>25</v>
      </c>
      <c r="M194" s="16"/>
      <c r="N194" s="18"/>
      <c r="O194" s="17"/>
      <c r="P194" s="16"/>
    </row>
    <row r="195" spans="1:16" ht="25.5" x14ac:dyDescent="0.25">
      <c r="A195" s="14" t="s">
        <v>984</v>
      </c>
      <c r="B195" s="15" t="s">
        <v>969</v>
      </c>
      <c r="C195" s="15" t="s">
        <v>970</v>
      </c>
      <c r="D195" s="15" t="s">
        <v>985</v>
      </c>
      <c r="E195" s="15" t="s">
        <v>986</v>
      </c>
      <c r="F195" s="15" t="s">
        <v>987</v>
      </c>
      <c r="G195" s="15" t="s">
        <v>120</v>
      </c>
      <c r="H195" s="15" t="s">
        <v>988</v>
      </c>
      <c r="I195" s="14" t="s">
        <v>50</v>
      </c>
      <c r="J195" s="14" t="s">
        <v>172</v>
      </c>
      <c r="K195" s="16"/>
      <c r="L195" s="17" t="s">
        <v>25</v>
      </c>
      <c r="M195" s="16"/>
      <c r="N195" s="18"/>
      <c r="O195" s="17"/>
      <c r="P195" s="16"/>
    </row>
    <row r="196" spans="1:16" ht="25.5" x14ac:dyDescent="0.25">
      <c r="A196" s="14" t="s">
        <v>989</v>
      </c>
      <c r="B196" s="15" t="s">
        <v>969</v>
      </c>
      <c r="C196" s="15" t="s">
        <v>970</v>
      </c>
      <c r="D196" s="15" t="s">
        <v>990</v>
      </c>
      <c r="E196" s="15" t="s">
        <v>120</v>
      </c>
      <c r="F196" s="15" t="s">
        <v>991</v>
      </c>
      <c r="G196" s="15" t="s">
        <v>992</v>
      </c>
      <c r="H196" s="15" t="s">
        <v>993</v>
      </c>
      <c r="I196" s="14" t="s">
        <v>38</v>
      </c>
      <c r="J196" s="14" t="s">
        <v>172</v>
      </c>
      <c r="K196" s="16"/>
      <c r="L196" s="17" t="s">
        <v>25</v>
      </c>
      <c r="M196" s="16"/>
      <c r="N196" s="18"/>
      <c r="O196" s="17"/>
      <c r="P196" s="16"/>
    </row>
    <row r="197" spans="1:16" ht="25.5" x14ac:dyDescent="0.25">
      <c r="A197" s="14" t="s">
        <v>994</v>
      </c>
      <c r="B197" s="15" t="s">
        <v>969</v>
      </c>
      <c r="C197" s="15" t="s">
        <v>970</v>
      </c>
      <c r="D197" s="15" t="s">
        <v>995</v>
      </c>
      <c r="E197" s="15" t="s">
        <v>120</v>
      </c>
      <c r="F197" s="15" t="s">
        <v>996</v>
      </c>
      <c r="G197" s="15" t="s">
        <v>997</v>
      </c>
      <c r="H197" s="15" t="s">
        <v>998</v>
      </c>
      <c r="I197" s="14" t="s">
        <v>50</v>
      </c>
      <c r="J197" s="14" t="s">
        <v>172</v>
      </c>
      <c r="K197" s="16"/>
      <c r="L197" s="17" t="s">
        <v>25</v>
      </c>
      <c r="M197" s="16"/>
      <c r="N197" s="18"/>
      <c r="O197" s="17"/>
      <c r="P197" s="16"/>
    </row>
    <row r="198" spans="1:16" ht="25.5" x14ac:dyDescent="0.25">
      <c r="A198" s="14" t="s">
        <v>999</v>
      </c>
      <c r="B198" s="15" t="s">
        <v>969</v>
      </c>
      <c r="C198" s="15" t="s">
        <v>1000</v>
      </c>
      <c r="D198" s="15" t="s">
        <v>1001</v>
      </c>
      <c r="E198" s="15" t="s">
        <v>120</v>
      </c>
      <c r="F198" s="15" t="s">
        <v>1002</v>
      </c>
      <c r="G198" s="15" t="s">
        <v>120</v>
      </c>
      <c r="H198" s="15" t="s">
        <v>1003</v>
      </c>
      <c r="I198" s="14" t="s">
        <v>24</v>
      </c>
      <c r="J198" s="14" t="s">
        <v>103</v>
      </c>
      <c r="K198" s="16"/>
      <c r="L198" s="17" t="s">
        <v>25</v>
      </c>
      <c r="M198" s="16"/>
      <c r="N198" s="18"/>
      <c r="O198" s="17"/>
      <c r="P198" s="16"/>
    </row>
    <row r="199" spans="1:16" ht="25.5" x14ac:dyDescent="0.25">
      <c r="A199" s="14" t="s">
        <v>1004</v>
      </c>
      <c r="B199" s="15" t="s">
        <v>969</v>
      </c>
      <c r="C199" s="15" t="s">
        <v>1000</v>
      </c>
      <c r="D199" s="15" t="s">
        <v>1005</v>
      </c>
      <c r="E199" s="15" t="s">
        <v>120</v>
      </c>
      <c r="F199" s="15" t="s">
        <v>1006</v>
      </c>
      <c r="G199" s="15" t="s">
        <v>1007</v>
      </c>
      <c r="H199" s="15" t="s">
        <v>1008</v>
      </c>
      <c r="I199" s="14" t="s">
        <v>24</v>
      </c>
      <c r="J199" s="14" t="s">
        <v>103</v>
      </c>
      <c r="K199" s="16"/>
      <c r="L199" s="17" t="s">
        <v>25</v>
      </c>
      <c r="M199" s="16"/>
      <c r="N199" s="18"/>
      <c r="O199" s="17"/>
      <c r="P199" s="16"/>
    </row>
    <row r="200" spans="1:16" ht="25.5" x14ac:dyDescent="0.25">
      <c r="A200" s="14" t="s">
        <v>1009</v>
      </c>
      <c r="B200" s="15" t="s">
        <v>969</v>
      </c>
      <c r="C200" s="15" t="s">
        <v>1000</v>
      </c>
      <c r="D200" s="15" t="s">
        <v>1010</v>
      </c>
      <c r="E200" s="15" t="s">
        <v>120</v>
      </c>
      <c r="F200" s="15" t="s">
        <v>1011</v>
      </c>
      <c r="G200" s="15" t="s">
        <v>1012</v>
      </c>
      <c r="H200" s="15" t="s">
        <v>1013</v>
      </c>
      <c r="I200" s="14" t="s">
        <v>24</v>
      </c>
      <c r="J200" s="14" t="s">
        <v>103</v>
      </c>
      <c r="K200" s="16"/>
      <c r="L200" s="17" t="s">
        <v>25</v>
      </c>
      <c r="M200" s="16"/>
      <c r="N200" s="18"/>
      <c r="O200" s="17"/>
      <c r="P200" s="16"/>
    </row>
    <row r="201" spans="1:16" ht="25.5" x14ac:dyDescent="0.25">
      <c r="A201" s="14" t="s">
        <v>1014</v>
      </c>
      <c r="B201" s="15" t="s">
        <v>969</v>
      </c>
      <c r="C201" s="15" t="s">
        <v>1000</v>
      </c>
      <c r="D201" s="15" t="s">
        <v>1015</v>
      </c>
      <c r="E201" s="15" t="s">
        <v>120</v>
      </c>
      <c r="F201" s="15" t="s">
        <v>1016</v>
      </c>
      <c r="G201" s="15" t="s">
        <v>1017</v>
      </c>
      <c r="H201" s="15" t="s">
        <v>1018</v>
      </c>
      <c r="I201" s="14" t="s">
        <v>24</v>
      </c>
      <c r="J201" s="14" t="s">
        <v>103</v>
      </c>
      <c r="K201" s="16"/>
      <c r="L201" s="17" t="s">
        <v>25</v>
      </c>
      <c r="M201" s="16"/>
      <c r="N201" s="18"/>
      <c r="O201" s="17"/>
      <c r="P201" s="16"/>
    </row>
    <row r="202" spans="1:16" ht="25.5" x14ac:dyDescent="0.25">
      <c r="A202" s="14" t="s">
        <v>1019</v>
      </c>
      <c r="B202" s="15" t="s">
        <v>969</v>
      </c>
      <c r="C202" s="15" t="s">
        <v>1000</v>
      </c>
      <c r="D202" s="15" t="s">
        <v>1020</v>
      </c>
      <c r="E202" s="15" t="s">
        <v>93</v>
      </c>
      <c r="F202" s="15" t="s">
        <v>1021</v>
      </c>
      <c r="G202" s="15" t="s">
        <v>120</v>
      </c>
      <c r="H202" s="15" t="s">
        <v>1022</v>
      </c>
      <c r="I202" s="14" t="s">
        <v>24</v>
      </c>
      <c r="J202" s="14" t="s">
        <v>103</v>
      </c>
      <c r="K202" s="16"/>
      <c r="L202" s="17" t="s">
        <v>25</v>
      </c>
      <c r="M202" s="16"/>
      <c r="N202" s="18"/>
      <c r="O202" s="17"/>
      <c r="P202" s="16"/>
    </row>
    <row r="203" spans="1:16" ht="25.5" x14ac:dyDescent="0.25">
      <c r="A203" s="14" t="s">
        <v>1023</v>
      </c>
      <c r="B203" s="15" t="s">
        <v>969</v>
      </c>
      <c r="C203" s="15" t="s">
        <v>1000</v>
      </c>
      <c r="D203" s="15" t="s">
        <v>1024</v>
      </c>
      <c r="E203" s="15" t="s">
        <v>1025</v>
      </c>
      <c r="F203" s="15" t="s">
        <v>1026</v>
      </c>
      <c r="G203" s="15" t="s">
        <v>120</v>
      </c>
      <c r="H203" s="15" t="s">
        <v>1027</v>
      </c>
      <c r="I203" s="14" t="s">
        <v>38</v>
      </c>
      <c r="J203" s="14" t="s">
        <v>1028</v>
      </c>
      <c r="K203" s="16"/>
      <c r="L203" s="17" t="s">
        <v>25</v>
      </c>
      <c r="M203" s="16"/>
      <c r="N203" s="18"/>
      <c r="O203" s="17"/>
      <c r="P203" s="16"/>
    </row>
    <row r="204" spans="1:16" ht="25.5" x14ac:dyDescent="0.25">
      <c r="A204" s="14" t="s">
        <v>1029</v>
      </c>
      <c r="B204" s="15" t="s">
        <v>969</v>
      </c>
      <c r="C204" s="15" t="s">
        <v>1000</v>
      </c>
      <c r="D204" s="15" t="s">
        <v>1030</v>
      </c>
      <c r="E204" s="15" t="s">
        <v>1031</v>
      </c>
      <c r="F204" s="15" t="s">
        <v>1032</v>
      </c>
      <c r="G204" s="15" t="s">
        <v>120</v>
      </c>
      <c r="H204" s="15" t="s">
        <v>1033</v>
      </c>
      <c r="I204" s="14" t="s">
        <v>24</v>
      </c>
      <c r="J204" s="14" t="s">
        <v>1034</v>
      </c>
      <c r="K204" s="16"/>
      <c r="L204" s="17" t="s">
        <v>25</v>
      </c>
      <c r="M204" s="16"/>
      <c r="N204" s="18"/>
      <c r="O204" s="17"/>
      <c r="P204" s="16"/>
    </row>
  </sheetData>
  <autoFilter ref="A1:P204" xr:uid="{00000000-0009-0000-0000-000001000000}"/>
  <conditionalFormatting sqref="I2:I204">
    <cfRule type="cellIs" dxfId="3" priority="4" operator="equal">
      <formula>"Cao"</formula>
    </cfRule>
  </conditionalFormatting>
  <conditionalFormatting sqref="L2:L204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allowBlank="1" sqref="L2:L204" xr:uid="{00000000-0002-0000-0100-000000000000}">
      <formula1>"Pass,Fail,Blocked,Not Run"</formula1>
    </dataValidation>
    <dataValidation type="date" operator="greaterThan" allowBlank="1" showErrorMessage="1" error="Nhập ngày dạng dd/mm/yyyy" sqref="N2:N204" xr:uid="{00000000-0002-0000-0100-000001000000}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3"/>
  <sheetViews>
    <sheetView showGridLines="0" workbookViewId="0"/>
  </sheetViews>
  <sheetFormatPr defaultRowHeight="15" x14ac:dyDescent="0.25"/>
  <cols>
    <col min="1" max="1" width="3" customWidth="1"/>
    <col min="2" max="2" width="20" customWidth="1"/>
    <col min="3" max="11" width="13" customWidth="1"/>
  </cols>
  <sheetData>
    <row r="2" spans="2:11" ht="20.25" x14ac:dyDescent="0.3">
      <c r="B2" s="19" t="s">
        <v>1074</v>
      </c>
    </row>
    <row r="4" spans="2:11" ht="32.1" customHeight="1" x14ac:dyDescent="0.25">
      <c r="B4" s="13" t="s">
        <v>1</v>
      </c>
      <c r="C4" s="13" t="s">
        <v>1075</v>
      </c>
      <c r="D4" s="13" t="s">
        <v>1054</v>
      </c>
      <c r="E4" s="13" t="s">
        <v>1056</v>
      </c>
      <c r="F4" s="13" t="s">
        <v>1058</v>
      </c>
      <c r="G4" s="13" t="s">
        <v>25</v>
      </c>
      <c r="H4" s="13" t="s">
        <v>1076</v>
      </c>
      <c r="I4" s="13" t="s">
        <v>1077</v>
      </c>
      <c r="J4" s="13" t="s">
        <v>1078</v>
      </c>
      <c r="K4" s="13" t="s">
        <v>1079</v>
      </c>
    </row>
    <row r="5" spans="2:11" x14ac:dyDescent="0.25">
      <c r="B5" s="7" t="s">
        <v>17</v>
      </c>
      <c r="C5" s="20">
        <f>COUNTIF('Test Cases'!$B:$B,$B5)</f>
        <v>23</v>
      </c>
      <c r="D5" s="20">
        <f>COUNTIFS('Test Cases'!$B:$B,$B5,'Test Cases'!$L:$L,"Pass")</f>
        <v>0</v>
      </c>
      <c r="E5" s="20">
        <f>COUNTIFS('Test Cases'!$B:$B,$B5,'Test Cases'!$L:$L,"Fail")</f>
        <v>0</v>
      </c>
      <c r="F5" s="20">
        <f>COUNTIFS('Test Cases'!$B:$B,$B5,'Test Cases'!$L:$L,"Blocked")</f>
        <v>0</v>
      </c>
      <c r="G5" s="20">
        <f>COUNTIFS('Test Cases'!$B:$B,$B5,'Test Cases'!$L:$L,"Not Run")</f>
        <v>23</v>
      </c>
      <c r="H5" s="20">
        <f t="shared" ref="H5:H14" si="0">D5+E5+F5</f>
        <v>0</v>
      </c>
      <c r="I5" s="21">
        <f t="shared" ref="I5:I15" si="1">IF(C5=0,0,H5/C5)</f>
        <v>0</v>
      </c>
      <c r="J5" s="21">
        <f t="shared" ref="J5:J15" si="2">IF(H5=0,0,D5/H5)</f>
        <v>0</v>
      </c>
      <c r="K5" s="20">
        <f>COUNTIFS('Test Cases'!$B:$B,$B5,'Test Cases'!$L:$L,"Fail",'Test Cases'!$I:$I,"Cao")</f>
        <v>0</v>
      </c>
    </row>
    <row r="6" spans="2:11" x14ac:dyDescent="0.25">
      <c r="B6" s="7" t="s">
        <v>151</v>
      </c>
      <c r="C6" s="20">
        <f>COUNTIF('Test Cases'!$B:$B,$B6)</f>
        <v>15</v>
      </c>
      <c r="D6" s="20">
        <f>COUNTIFS('Test Cases'!$B:$B,$B6,'Test Cases'!$L:$L,"Pass")</f>
        <v>0</v>
      </c>
      <c r="E6" s="20">
        <f>COUNTIFS('Test Cases'!$B:$B,$B6,'Test Cases'!$L:$L,"Fail")</f>
        <v>0</v>
      </c>
      <c r="F6" s="20">
        <f>COUNTIFS('Test Cases'!$B:$B,$B6,'Test Cases'!$L:$L,"Blocked")</f>
        <v>0</v>
      </c>
      <c r="G6" s="20">
        <f>COUNTIFS('Test Cases'!$B:$B,$B6,'Test Cases'!$L:$L,"Not Run")</f>
        <v>15</v>
      </c>
      <c r="H6" s="20">
        <f t="shared" si="0"/>
        <v>0</v>
      </c>
      <c r="I6" s="21">
        <f t="shared" si="1"/>
        <v>0</v>
      </c>
      <c r="J6" s="21">
        <f t="shared" si="2"/>
        <v>0</v>
      </c>
      <c r="K6" s="20">
        <f>COUNTIFS('Test Cases'!$B:$B,$B6,'Test Cases'!$L:$L,"Fail",'Test Cases'!$I:$I,"Cao")</f>
        <v>0</v>
      </c>
    </row>
    <row r="7" spans="2:11" x14ac:dyDescent="0.25">
      <c r="B7" s="7" t="s">
        <v>226</v>
      </c>
      <c r="C7" s="20">
        <f>COUNTIF('Test Cases'!$B:$B,$B7)</f>
        <v>11</v>
      </c>
      <c r="D7" s="20">
        <f>COUNTIFS('Test Cases'!$B:$B,$B7,'Test Cases'!$L:$L,"Pass")</f>
        <v>0</v>
      </c>
      <c r="E7" s="20">
        <f>COUNTIFS('Test Cases'!$B:$B,$B7,'Test Cases'!$L:$L,"Fail")</f>
        <v>0</v>
      </c>
      <c r="F7" s="20">
        <f>COUNTIFS('Test Cases'!$B:$B,$B7,'Test Cases'!$L:$L,"Blocked")</f>
        <v>0</v>
      </c>
      <c r="G7" s="20">
        <f>COUNTIFS('Test Cases'!$B:$B,$B7,'Test Cases'!$L:$L,"Not Run")</f>
        <v>11</v>
      </c>
      <c r="H7" s="20">
        <f t="shared" si="0"/>
        <v>0</v>
      </c>
      <c r="I7" s="21">
        <f t="shared" si="1"/>
        <v>0</v>
      </c>
      <c r="J7" s="21">
        <f t="shared" si="2"/>
        <v>0</v>
      </c>
      <c r="K7" s="20">
        <f>COUNTIFS('Test Cases'!$B:$B,$B7,'Test Cases'!$L:$L,"Fail",'Test Cases'!$I:$I,"Cao")</f>
        <v>0</v>
      </c>
    </row>
    <row r="8" spans="2:11" x14ac:dyDescent="0.25">
      <c r="B8" s="7" t="s">
        <v>279</v>
      </c>
      <c r="C8" s="20">
        <f>COUNTIF('Test Cases'!$B:$B,$B8)</f>
        <v>27</v>
      </c>
      <c r="D8" s="20">
        <f>COUNTIFS('Test Cases'!$B:$B,$B8,'Test Cases'!$L:$L,"Pass")</f>
        <v>0</v>
      </c>
      <c r="E8" s="20">
        <f>COUNTIFS('Test Cases'!$B:$B,$B8,'Test Cases'!$L:$L,"Fail")</f>
        <v>0</v>
      </c>
      <c r="F8" s="20">
        <f>COUNTIFS('Test Cases'!$B:$B,$B8,'Test Cases'!$L:$L,"Blocked")</f>
        <v>0</v>
      </c>
      <c r="G8" s="20">
        <f>COUNTIFS('Test Cases'!$B:$B,$B8,'Test Cases'!$L:$L,"Not Run")</f>
        <v>27</v>
      </c>
      <c r="H8" s="20">
        <f t="shared" si="0"/>
        <v>0</v>
      </c>
      <c r="I8" s="21">
        <f t="shared" si="1"/>
        <v>0</v>
      </c>
      <c r="J8" s="21">
        <f t="shared" si="2"/>
        <v>0</v>
      </c>
      <c r="K8" s="20">
        <f>COUNTIFS('Test Cases'!$B:$B,$B8,'Test Cases'!$L:$L,"Fail",'Test Cases'!$I:$I,"Cao")</f>
        <v>0</v>
      </c>
    </row>
    <row r="9" spans="2:11" x14ac:dyDescent="0.25">
      <c r="B9" s="7" t="s">
        <v>415</v>
      </c>
      <c r="C9" s="20">
        <f>COUNTIF('Test Cases'!$B:$B,$B9)</f>
        <v>24</v>
      </c>
      <c r="D9" s="20">
        <f>COUNTIFS('Test Cases'!$B:$B,$B9,'Test Cases'!$L:$L,"Pass")</f>
        <v>0</v>
      </c>
      <c r="E9" s="20">
        <f>COUNTIFS('Test Cases'!$B:$B,$B9,'Test Cases'!$L:$L,"Fail")</f>
        <v>0</v>
      </c>
      <c r="F9" s="20">
        <f>COUNTIFS('Test Cases'!$B:$B,$B9,'Test Cases'!$L:$L,"Blocked")</f>
        <v>0</v>
      </c>
      <c r="G9" s="20">
        <f>COUNTIFS('Test Cases'!$B:$B,$B9,'Test Cases'!$L:$L,"Not Run")</f>
        <v>24</v>
      </c>
      <c r="H9" s="20">
        <f t="shared" si="0"/>
        <v>0</v>
      </c>
      <c r="I9" s="21">
        <f t="shared" si="1"/>
        <v>0</v>
      </c>
      <c r="J9" s="21">
        <f t="shared" si="2"/>
        <v>0</v>
      </c>
      <c r="K9" s="20">
        <f>COUNTIFS('Test Cases'!$B:$B,$B9,'Test Cases'!$L:$L,"Fail",'Test Cases'!$I:$I,"Cao")</f>
        <v>0</v>
      </c>
    </row>
    <row r="10" spans="2:11" x14ac:dyDescent="0.25">
      <c r="B10" s="7" t="s">
        <v>533</v>
      </c>
      <c r="C10" s="20">
        <f>COUNTIF('Test Cases'!$B:$B,$B10)</f>
        <v>50</v>
      </c>
      <c r="D10" s="20">
        <f>COUNTIFS('Test Cases'!$B:$B,$B10,'Test Cases'!$L:$L,"Pass")</f>
        <v>0</v>
      </c>
      <c r="E10" s="20">
        <f>COUNTIFS('Test Cases'!$B:$B,$B10,'Test Cases'!$L:$L,"Fail")</f>
        <v>0</v>
      </c>
      <c r="F10" s="20">
        <f>COUNTIFS('Test Cases'!$B:$B,$B10,'Test Cases'!$L:$L,"Blocked")</f>
        <v>0</v>
      </c>
      <c r="G10" s="20">
        <f>COUNTIFS('Test Cases'!$B:$B,$B10,'Test Cases'!$L:$L,"Not Run")</f>
        <v>50</v>
      </c>
      <c r="H10" s="20">
        <f t="shared" si="0"/>
        <v>0</v>
      </c>
      <c r="I10" s="21">
        <f t="shared" si="1"/>
        <v>0</v>
      </c>
      <c r="J10" s="21">
        <f t="shared" si="2"/>
        <v>0</v>
      </c>
      <c r="K10" s="20">
        <f>COUNTIFS('Test Cases'!$B:$B,$B10,'Test Cases'!$L:$L,"Fail",'Test Cases'!$I:$I,"Cao")</f>
        <v>0</v>
      </c>
    </row>
    <row r="11" spans="2:11" x14ac:dyDescent="0.25">
      <c r="B11" s="7" t="s">
        <v>775</v>
      </c>
      <c r="C11" s="20">
        <f>COUNTIF('Test Cases'!$B:$B,$B11)</f>
        <v>25</v>
      </c>
      <c r="D11" s="20">
        <f>COUNTIFS('Test Cases'!$B:$B,$B11,'Test Cases'!$L:$L,"Pass")</f>
        <v>0</v>
      </c>
      <c r="E11" s="20">
        <f>COUNTIFS('Test Cases'!$B:$B,$B11,'Test Cases'!$L:$L,"Fail")</f>
        <v>0</v>
      </c>
      <c r="F11" s="20">
        <f>COUNTIFS('Test Cases'!$B:$B,$B11,'Test Cases'!$L:$L,"Blocked")</f>
        <v>0</v>
      </c>
      <c r="G11" s="20">
        <f>COUNTIFS('Test Cases'!$B:$B,$B11,'Test Cases'!$L:$L,"Not Run")</f>
        <v>25</v>
      </c>
      <c r="H11" s="20">
        <f t="shared" si="0"/>
        <v>0</v>
      </c>
      <c r="I11" s="21">
        <f t="shared" si="1"/>
        <v>0</v>
      </c>
      <c r="J11" s="21">
        <f t="shared" si="2"/>
        <v>0</v>
      </c>
      <c r="K11" s="20">
        <f>COUNTIFS('Test Cases'!$B:$B,$B11,'Test Cases'!$L:$L,"Fail",'Test Cases'!$I:$I,"Cao")</f>
        <v>0</v>
      </c>
    </row>
    <row r="12" spans="2:11" x14ac:dyDescent="0.25">
      <c r="B12" s="7" t="s">
        <v>606</v>
      </c>
      <c r="C12" s="20">
        <f>COUNTIF('Test Cases'!$B:$B,$B12)</f>
        <v>3</v>
      </c>
      <c r="D12" s="20">
        <f>COUNTIFS('Test Cases'!$B:$B,$B12,'Test Cases'!$L:$L,"Pass")</f>
        <v>0</v>
      </c>
      <c r="E12" s="20">
        <f>COUNTIFS('Test Cases'!$B:$B,$B12,'Test Cases'!$L:$L,"Fail")</f>
        <v>0</v>
      </c>
      <c r="F12" s="20">
        <f>COUNTIFS('Test Cases'!$B:$B,$B12,'Test Cases'!$L:$L,"Blocked")</f>
        <v>0</v>
      </c>
      <c r="G12" s="20">
        <f>COUNTIFS('Test Cases'!$B:$B,$B12,'Test Cases'!$L:$L,"Not Run")</f>
        <v>3</v>
      </c>
      <c r="H12" s="20">
        <f t="shared" si="0"/>
        <v>0</v>
      </c>
      <c r="I12" s="21">
        <f t="shared" si="1"/>
        <v>0</v>
      </c>
      <c r="J12" s="21">
        <f t="shared" si="2"/>
        <v>0</v>
      </c>
      <c r="K12" s="20">
        <f>COUNTIFS('Test Cases'!$B:$B,$B12,'Test Cases'!$L:$L,"Fail",'Test Cases'!$I:$I,"Cao")</f>
        <v>0</v>
      </c>
    </row>
    <row r="13" spans="2:11" x14ac:dyDescent="0.25">
      <c r="B13" s="7" t="s">
        <v>912</v>
      </c>
      <c r="C13" s="20">
        <f>COUNTIF('Test Cases'!$B:$B,$B13)</f>
        <v>12</v>
      </c>
      <c r="D13" s="20">
        <f>COUNTIFS('Test Cases'!$B:$B,$B13,'Test Cases'!$L:$L,"Pass")</f>
        <v>0</v>
      </c>
      <c r="E13" s="20">
        <f>COUNTIFS('Test Cases'!$B:$B,$B13,'Test Cases'!$L:$L,"Fail")</f>
        <v>0</v>
      </c>
      <c r="F13" s="20">
        <f>COUNTIFS('Test Cases'!$B:$B,$B13,'Test Cases'!$L:$L,"Blocked")</f>
        <v>0</v>
      </c>
      <c r="G13" s="20">
        <f>COUNTIFS('Test Cases'!$B:$B,$B13,'Test Cases'!$L:$L,"Not Run")</f>
        <v>12</v>
      </c>
      <c r="H13" s="20">
        <f t="shared" si="0"/>
        <v>0</v>
      </c>
      <c r="I13" s="21">
        <f t="shared" si="1"/>
        <v>0</v>
      </c>
      <c r="J13" s="21">
        <f t="shared" si="2"/>
        <v>0</v>
      </c>
      <c r="K13" s="20">
        <f>COUNTIFS('Test Cases'!$B:$B,$B13,'Test Cases'!$L:$L,"Fail",'Test Cases'!$I:$I,"Cao")</f>
        <v>0</v>
      </c>
    </row>
    <row r="14" spans="2:11" x14ac:dyDescent="0.25">
      <c r="B14" s="7" t="s">
        <v>969</v>
      </c>
      <c r="C14" s="20">
        <f>COUNTIF('Test Cases'!$B:$B,$B14)</f>
        <v>13</v>
      </c>
      <c r="D14" s="20">
        <f>COUNTIFS('Test Cases'!$B:$B,$B14,'Test Cases'!$L:$L,"Pass")</f>
        <v>0</v>
      </c>
      <c r="E14" s="20">
        <f>COUNTIFS('Test Cases'!$B:$B,$B14,'Test Cases'!$L:$L,"Fail")</f>
        <v>0</v>
      </c>
      <c r="F14" s="20">
        <f>COUNTIFS('Test Cases'!$B:$B,$B14,'Test Cases'!$L:$L,"Blocked")</f>
        <v>0</v>
      </c>
      <c r="G14" s="20">
        <f>COUNTIFS('Test Cases'!$B:$B,$B14,'Test Cases'!$L:$L,"Not Run")</f>
        <v>13</v>
      </c>
      <c r="H14" s="20">
        <f t="shared" si="0"/>
        <v>0</v>
      </c>
      <c r="I14" s="21">
        <f t="shared" si="1"/>
        <v>0</v>
      </c>
      <c r="J14" s="21">
        <f t="shared" si="2"/>
        <v>0</v>
      </c>
      <c r="K14" s="20">
        <f>COUNTIFS('Test Cases'!$B:$B,$B14,'Test Cases'!$L:$L,"Fail",'Test Cases'!$I:$I,"Cao")</f>
        <v>0</v>
      </c>
    </row>
    <row r="15" spans="2:11" x14ac:dyDescent="0.25">
      <c r="B15" s="22" t="s">
        <v>1080</v>
      </c>
      <c r="C15" s="23">
        <f t="shared" ref="C15:H15" si="3">SUM(C5:C14)</f>
        <v>203</v>
      </c>
      <c r="D15" s="23">
        <f t="shared" si="3"/>
        <v>0</v>
      </c>
      <c r="E15" s="23">
        <f t="shared" si="3"/>
        <v>0</v>
      </c>
      <c r="F15" s="23">
        <f t="shared" si="3"/>
        <v>0</v>
      </c>
      <c r="G15" s="23">
        <f t="shared" si="3"/>
        <v>203</v>
      </c>
      <c r="H15" s="23">
        <f t="shared" si="3"/>
        <v>0</v>
      </c>
      <c r="I15" s="24">
        <f t="shared" si="1"/>
        <v>0</v>
      </c>
      <c r="J15" s="24">
        <f t="shared" si="2"/>
        <v>0</v>
      </c>
      <c r="K15" s="23">
        <f>SUM(K5:K14)</f>
        <v>0</v>
      </c>
    </row>
    <row r="17" spans="2:6" ht="15.75" x14ac:dyDescent="0.25">
      <c r="B17" s="5" t="s">
        <v>1081</v>
      </c>
    </row>
    <row r="18" spans="2:6" x14ac:dyDescent="0.25">
      <c r="B18" s="25" t="s">
        <v>8</v>
      </c>
      <c r="C18" s="25" t="s">
        <v>1075</v>
      </c>
      <c r="D18" s="25" t="s">
        <v>1054</v>
      </c>
      <c r="E18" s="25" t="s">
        <v>1056</v>
      </c>
      <c r="F18" s="25" t="s">
        <v>1078</v>
      </c>
    </row>
    <row r="19" spans="2:6" x14ac:dyDescent="0.25">
      <c r="B19" s="7" t="s">
        <v>24</v>
      </c>
      <c r="C19" s="20">
        <f>COUNTIF('Test Cases'!$I:$I,$B19)</f>
        <v>92</v>
      </c>
      <c r="D19" s="20">
        <f>COUNTIFS('Test Cases'!$I:$I,$B19,'Test Cases'!$L:$L,"Pass")</f>
        <v>0</v>
      </c>
      <c r="E19" s="20">
        <f>COUNTIFS('Test Cases'!$I:$I,$B19,'Test Cases'!$L:$L,"Fail")</f>
        <v>0</v>
      </c>
      <c r="F19" s="21">
        <f>IF(D19+E19=0,0,D19/(D19+E19))</f>
        <v>0</v>
      </c>
    </row>
    <row r="20" spans="2:6" x14ac:dyDescent="0.25">
      <c r="B20" s="7" t="s">
        <v>38</v>
      </c>
      <c r="C20" s="20">
        <f>COUNTIF('Test Cases'!$I:$I,$B20)</f>
        <v>72</v>
      </c>
      <c r="D20" s="20">
        <f>COUNTIFS('Test Cases'!$I:$I,$B20,'Test Cases'!$L:$L,"Pass")</f>
        <v>0</v>
      </c>
      <c r="E20" s="20">
        <f>COUNTIFS('Test Cases'!$I:$I,$B20,'Test Cases'!$L:$L,"Fail")</f>
        <v>0</v>
      </c>
      <c r="F20" s="21">
        <f>IF(D20+E20=0,0,D20/(D20+E20))</f>
        <v>0</v>
      </c>
    </row>
    <row r="21" spans="2:6" x14ac:dyDescent="0.25">
      <c r="B21" s="7" t="s">
        <v>50</v>
      </c>
      <c r="C21" s="20">
        <f>COUNTIF('Test Cases'!$I:$I,$B21)</f>
        <v>39</v>
      </c>
      <c r="D21" s="20">
        <f>COUNTIFS('Test Cases'!$I:$I,$B21,'Test Cases'!$L:$L,"Pass")</f>
        <v>0</v>
      </c>
      <c r="E21" s="20">
        <f>COUNTIFS('Test Cases'!$I:$I,$B21,'Test Cases'!$L:$L,"Fail")</f>
        <v>0</v>
      </c>
      <c r="F21" s="21">
        <f>IF(D21+E21=0,0,D21/(D21+E21))</f>
        <v>0</v>
      </c>
    </row>
    <row r="23" spans="2:6" ht="15.75" x14ac:dyDescent="0.25">
      <c r="B23" s="5" t="s">
        <v>1082</v>
      </c>
    </row>
    <row r="24" spans="2:6" x14ac:dyDescent="0.25">
      <c r="B24" s="26" t="str">
        <f>IF(H15&lt;C15,"Chưa chạy hết test case",IF(K15&gt;0,"KHÔNG ĐẠT – còn lỗi ưu tiên Cao",IF(J15&gt;=0.95,"ĐẠT – sẵn sàng bàn giao","ĐẠT CÓ ĐIỀU KIỆN – tỉ lệ Pass dưới 95%")))</f>
        <v>Chưa chạy hết test case</v>
      </c>
    </row>
    <row r="25" spans="2:6" x14ac:dyDescent="0.25">
      <c r="B25" s="27" t="s">
        <v>1083</v>
      </c>
    </row>
    <row r="27" spans="2:6" ht="15.75" x14ac:dyDescent="0.25">
      <c r="B27" s="5" t="s">
        <v>1084</v>
      </c>
    </row>
    <row r="28" spans="2:6" x14ac:dyDescent="0.25">
      <c r="B28" s="28" t="s">
        <v>1085</v>
      </c>
      <c r="C28" s="28" t="s">
        <v>1086</v>
      </c>
      <c r="D28" s="28" t="s">
        <v>1087</v>
      </c>
    </row>
    <row r="29" spans="2:6" x14ac:dyDescent="0.25">
      <c r="B29" s="7" t="s">
        <v>1088</v>
      </c>
      <c r="C29" s="20">
        <f>COUNTIF('Bug Report'!$E$3:$E$100,$B29)</f>
        <v>0</v>
      </c>
      <c r="D29" s="20">
        <f>C29-COUNTIFS('Bug Report'!$E$3:$E$100,$B29,'Bug Report'!$O$3:$O$100,"Đóng")-COUNTIFS('Bug Report'!$E$3:$E$100,$B29,'Bug Report'!$O$3:$O$100,"Không phải lỗi")</f>
        <v>0</v>
      </c>
    </row>
    <row r="30" spans="2:6" x14ac:dyDescent="0.25">
      <c r="B30" s="7" t="s">
        <v>24</v>
      </c>
      <c r="C30" s="20">
        <f>COUNTIF('Bug Report'!$E$3:$E$100,$B30)</f>
        <v>0</v>
      </c>
      <c r="D30" s="20">
        <f>C30-COUNTIFS('Bug Report'!$E$3:$E$100,$B30,'Bug Report'!$O$3:$O$100,"Đóng")-COUNTIFS('Bug Report'!$E$3:$E$100,$B30,'Bug Report'!$O$3:$O$100,"Không phải lỗi")</f>
        <v>0</v>
      </c>
    </row>
    <row r="31" spans="2:6" x14ac:dyDescent="0.25">
      <c r="B31" s="7" t="s">
        <v>38</v>
      </c>
      <c r="C31" s="20">
        <f>COUNTIF('Bug Report'!$E$3:$E$100,$B31)</f>
        <v>0</v>
      </c>
      <c r="D31" s="20">
        <f>C31-COUNTIFS('Bug Report'!$E$3:$E$100,$B31,'Bug Report'!$O$3:$O$100,"Đóng")-COUNTIFS('Bug Report'!$E$3:$E$100,$B31,'Bug Report'!$O$3:$O$100,"Không phải lỗi")</f>
        <v>0</v>
      </c>
    </row>
    <row r="32" spans="2:6" x14ac:dyDescent="0.25">
      <c r="B32" s="7" t="s">
        <v>50</v>
      </c>
      <c r="C32" s="20">
        <f>COUNTIF('Bug Report'!$E$3:$E$100,$B32)</f>
        <v>0</v>
      </c>
      <c r="D32" s="20">
        <f>C32-COUNTIFS('Bug Report'!$E$3:$E$100,$B32,'Bug Report'!$O$3:$O$100,"Đóng")-COUNTIFS('Bug Report'!$E$3:$E$100,$B32,'Bug Report'!$O$3:$O$100,"Không phải lỗi")</f>
        <v>0</v>
      </c>
    </row>
    <row r="33" spans="2:2" x14ac:dyDescent="0.25">
      <c r="B33" s="27" t="s">
        <v>1089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0" customWidth="1"/>
    <col min="3" max="3" width="32" customWidth="1"/>
    <col min="4" max="4" width="14" customWidth="1"/>
    <col min="5" max="6" width="12" customWidth="1"/>
    <col min="7" max="7" width="38" customWidth="1"/>
    <col min="8" max="9" width="30" customWidth="1"/>
    <col min="10" max="10" width="20" customWidth="1"/>
    <col min="11" max="11" width="18" customWidth="1"/>
    <col min="12" max="12" width="13" customWidth="1"/>
    <col min="13" max="13" width="12" customWidth="1"/>
    <col min="14" max="15" width="13" customWidth="1"/>
    <col min="16" max="16" width="22" customWidth="1"/>
  </cols>
  <sheetData>
    <row r="1" spans="1:16" x14ac:dyDescent="0.25">
      <c r="A1" s="13" t="s">
        <v>14</v>
      </c>
      <c r="B1" s="13" t="s">
        <v>0</v>
      </c>
      <c r="C1" s="13" t="s">
        <v>1090</v>
      </c>
      <c r="D1" s="13" t="s">
        <v>1</v>
      </c>
      <c r="E1" s="13" t="s">
        <v>1085</v>
      </c>
      <c r="F1" s="13" t="s">
        <v>1091</v>
      </c>
      <c r="G1" s="13" t="s">
        <v>1092</v>
      </c>
      <c r="H1" s="13" t="s">
        <v>7</v>
      </c>
      <c r="I1" s="13" t="s">
        <v>10</v>
      </c>
      <c r="J1" s="13" t="s">
        <v>1093</v>
      </c>
      <c r="K1" s="13" t="s">
        <v>1039</v>
      </c>
      <c r="L1" s="13" t="s">
        <v>1094</v>
      </c>
      <c r="M1" s="13" t="s">
        <v>1095</v>
      </c>
      <c r="N1" s="13" t="s">
        <v>1096</v>
      </c>
      <c r="O1" s="13" t="s">
        <v>11</v>
      </c>
      <c r="P1" s="13" t="s">
        <v>15</v>
      </c>
    </row>
    <row r="2" spans="1:16" ht="38.25" x14ac:dyDescent="0.25">
      <c r="A2" s="29" t="s">
        <v>1097</v>
      </c>
      <c r="B2" s="29" t="s">
        <v>286</v>
      </c>
      <c r="C2" s="29" t="s">
        <v>1098</v>
      </c>
      <c r="D2" s="29" t="s">
        <v>279</v>
      </c>
      <c r="E2" s="29" t="s">
        <v>1088</v>
      </c>
      <c r="F2" s="29" t="s">
        <v>24</v>
      </c>
      <c r="G2" s="29" t="s">
        <v>1099</v>
      </c>
      <c r="H2" s="29" t="s">
        <v>1100</v>
      </c>
      <c r="I2" s="29" t="s">
        <v>1101</v>
      </c>
      <c r="J2" s="29" t="s">
        <v>1102</v>
      </c>
      <c r="K2" s="29" t="s">
        <v>1103</v>
      </c>
      <c r="L2" s="29" t="s">
        <v>1104</v>
      </c>
      <c r="M2" s="30">
        <f ca="1">TODAY()</f>
        <v>46321</v>
      </c>
      <c r="N2" s="29"/>
      <c r="O2" s="29" t="s">
        <v>1105</v>
      </c>
      <c r="P2" s="29" t="s">
        <v>1106</v>
      </c>
    </row>
    <row r="3" spans="1:16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31"/>
      <c r="N3" s="15"/>
      <c r="O3" s="15"/>
      <c r="P3" s="15"/>
    </row>
    <row r="4" spans="1:16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31"/>
      <c r="N4" s="15"/>
      <c r="O4" s="15"/>
      <c r="P4" s="15"/>
    </row>
    <row r="5" spans="1:16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31"/>
      <c r="N5" s="15"/>
      <c r="O5" s="15"/>
      <c r="P5" s="15"/>
    </row>
    <row r="6" spans="1:16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31"/>
      <c r="N6" s="15"/>
      <c r="O6" s="15"/>
      <c r="P6" s="15"/>
    </row>
    <row r="7" spans="1:1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31"/>
      <c r="N7" s="15"/>
      <c r="O7" s="15"/>
      <c r="P7" s="15"/>
    </row>
    <row r="8" spans="1:1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31"/>
      <c r="N8" s="15"/>
      <c r="O8" s="15"/>
      <c r="P8" s="15"/>
    </row>
    <row r="9" spans="1:16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31"/>
      <c r="N9" s="15"/>
      <c r="O9" s="15"/>
      <c r="P9" s="15"/>
    </row>
    <row r="10" spans="1:1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31"/>
      <c r="N10" s="15"/>
      <c r="O10" s="15"/>
      <c r="P10" s="15"/>
    </row>
    <row r="11" spans="1:16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31"/>
      <c r="N11" s="15"/>
      <c r="O11" s="15"/>
      <c r="P11" s="15"/>
    </row>
    <row r="12" spans="1:1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31"/>
      <c r="N12" s="15"/>
      <c r="O12" s="15"/>
      <c r="P12" s="15"/>
    </row>
    <row r="13" spans="1:16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31"/>
      <c r="N13" s="15"/>
      <c r="O13" s="15"/>
      <c r="P13" s="15"/>
    </row>
    <row r="14" spans="1:1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31"/>
      <c r="N14" s="15"/>
      <c r="O14" s="15"/>
      <c r="P14" s="15"/>
    </row>
    <row r="15" spans="1:16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31"/>
      <c r="N15" s="15"/>
      <c r="O15" s="15"/>
      <c r="P15" s="15"/>
    </row>
    <row r="16" spans="1:16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31"/>
      <c r="N16" s="15"/>
      <c r="O16" s="15"/>
      <c r="P16" s="15"/>
    </row>
    <row r="17" spans="1:16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31"/>
      <c r="N17" s="15"/>
      <c r="O17" s="15"/>
      <c r="P17" s="15"/>
    </row>
    <row r="18" spans="1:16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31"/>
      <c r="N18" s="15"/>
      <c r="O18" s="15"/>
      <c r="P18" s="15"/>
    </row>
    <row r="19" spans="1:16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31"/>
      <c r="N19" s="15"/>
      <c r="O19" s="15"/>
      <c r="P19" s="15"/>
    </row>
    <row r="20" spans="1:16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31"/>
      <c r="N20" s="15"/>
      <c r="O20" s="15"/>
      <c r="P20" s="15"/>
    </row>
    <row r="21" spans="1:16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31"/>
      <c r="N21" s="15"/>
      <c r="O21" s="15"/>
      <c r="P21" s="15"/>
    </row>
    <row r="22" spans="1:1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31"/>
      <c r="N22" s="15"/>
      <c r="O22" s="15"/>
      <c r="P22" s="15"/>
    </row>
    <row r="23" spans="1:16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31"/>
      <c r="N23" s="15"/>
      <c r="O23" s="15"/>
      <c r="P23" s="15"/>
    </row>
    <row r="24" spans="1:1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31"/>
      <c r="N24" s="15"/>
      <c r="O24" s="15"/>
      <c r="P24" s="15"/>
    </row>
    <row r="25" spans="1:16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31"/>
      <c r="N25" s="15"/>
      <c r="O25" s="15"/>
      <c r="P25" s="15"/>
    </row>
    <row r="26" spans="1:16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31"/>
      <c r="N26" s="15"/>
      <c r="O26" s="15"/>
      <c r="P26" s="15"/>
    </row>
    <row r="27" spans="1:16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31"/>
      <c r="N27" s="15"/>
      <c r="O27" s="15"/>
      <c r="P27" s="15"/>
    </row>
    <row r="28" spans="1:16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31"/>
      <c r="N28" s="15"/>
      <c r="O28" s="15"/>
      <c r="P28" s="15"/>
    </row>
    <row r="29" spans="1:16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31"/>
      <c r="N29" s="15"/>
      <c r="O29" s="15"/>
      <c r="P29" s="15"/>
    </row>
    <row r="30" spans="1:1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31"/>
      <c r="N30" s="15"/>
      <c r="O30" s="15"/>
      <c r="P30" s="15"/>
    </row>
    <row r="31" spans="1:1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31"/>
      <c r="N31" s="15"/>
      <c r="O31" s="15"/>
      <c r="P31" s="15"/>
    </row>
    <row r="32" spans="1:1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31"/>
      <c r="N32" s="15"/>
      <c r="O32" s="15"/>
      <c r="P32" s="15"/>
    </row>
    <row r="33" spans="1:1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31"/>
      <c r="N33" s="15"/>
      <c r="O33" s="15"/>
      <c r="P33" s="15"/>
    </row>
    <row r="34" spans="1:1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31"/>
      <c r="N34" s="15"/>
      <c r="O34" s="15"/>
      <c r="P34" s="15"/>
    </row>
    <row r="35" spans="1:1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31"/>
      <c r="N35" s="15"/>
      <c r="O35" s="15"/>
      <c r="P35" s="15"/>
    </row>
    <row r="36" spans="1:1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31"/>
      <c r="N36" s="15"/>
      <c r="O36" s="15"/>
      <c r="P36" s="15"/>
    </row>
    <row r="37" spans="1:1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31"/>
      <c r="N37" s="15"/>
      <c r="O37" s="15"/>
      <c r="P37" s="15"/>
    </row>
    <row r="38" spans="1:1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1"/>
      <c r="N38" s="15"/>
      <c r="O38" s="15"/>
      <c r="P38" s="15"/>
    </row>
    <row r="39" spans="1:1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1"/>
      <c r="N39" s="15"/>
      <c r="O39" s="15"/>
      <c r="P39" s="15"/>
    </row>
    <row r="40" spans="1:1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1"/>
      <c r="N40" s="15"/>
      <c r="O40" s="15"/>
      <c r="P40" s="15"/>
    </row>
    <row r="41" spans="1:1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1"/>
      <c r="N41" s="15"/>
      <c r="O41" s="15"/>
      <c r="P41" s="15"/>
    </row>
    <row r="42" spans="1:1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31"/>
      <c r="N42" s="15"/>
      <c r="O42" s="15"/>
      <c r="P42" s="15"/>
    </row>
    <row r="43" spans="1:1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31"/>
      <c r="N43" s="15"/>
      <c r="O43" s="15"/>
      <c r="P43" s="15"/>
    </row>
    <row r="44" spans="1:1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31"/>
      <c r="N44" s="15"/>
      <c r="O44" s="15"/>
      <c r="P44" s="15"/>
    </row>
    <row r="45" spans="1:1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31"/>
      <c r="N45" s="15"/>
      <c r="O45" s="15"/>
      <c r="P45" s="15"/>
    </row>
    <row r="46" spans="1:1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31"/>
      <c r="N46" s="15"/>
      <c r="O46" s="15"/>
      <c r="P46" s="15"/>
    </row>
    <row r="47" spans="1:1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31"/>
      <c r="N47" s="15"/>
      <c r="O47" s="15"/>
      <c r="P47" s="15"/>
    </row>
    <row r="48" spans="1:16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31"/>
      <c r="N48" s="15"/>
      <c r="O48" s="15"/>
      <c r="P48" s="15"/>
    </row>
    <row r="49" spans="1:1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31"/>
      <c r="N49" s="15"/>
      <c r="O49" s="15"/>
      <c r="P49" s="15"/>
    </row>
    <row r="50" spans="1:1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31"/>
      <c r="N50" s="15"/>
      <c r="O50" s="15"/>
      <c r="P50" s="15"/>
    </row>
    <row r="51" spans="1:1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31"/>
      <c r="N51" s="15"/>
      <c r="O51" s="15"/>
      <c r="P51" s="15"/>
    </row>
    <row r="52" spans="1:1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31"/>
      <c r="N52" s="15"/>
      <c r="O52" s="15"/>
      <c r="P52" s="15"/>
    </row>
    <row r="53" spans="1:1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31"/>
      <c r="N53" s="15"/>
      <c r="O53" s="15"/>
      <c r="P53" s="15"/>
    </row>
    <row r="54" spans="1:1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31"/>
      <c r="N54" s="15"/>
      <c r="O54" s="15"/>
      <c r="P54" s="15"/>
    </row>
    <row r="55" spans="1:1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31"/>
      <c r="N55" s="15"/>
      <c r="O55" s="15"/>
      <c r="P55" s="15"/>
    </row>
    <row r="56" spans="1:1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31"/>
      <c r="N56" s="15"/>
      <c r="O56" s="15"/>
      <c r="P56" s="15"/>
    </row>
    <row r="57" spans="1:1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31"/>
      <c r="N57" s="15"/>
      <c r="O57" s="15"/>
      <c r="P57" s="15"/>
    </row>
    <row r="58" spans="1:1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31"/>
      <c r="N58" s="15"/>
      <c r="O58" s="15"/>
      <c r="P58" s="15"/>
    </row>
    <row r="59" spans="1:1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31"/>
      <c r="N59" s="15"/>
      <c r="O59" s="15"/>
      <c r="P59" s="15"/>
    </row>
    <row r="60" spans="1:1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31"/>
      <c r="N60" s="15"/>
      <c r="O60" s="15"/>
      <c r="P60" s="15"/>
    </row>
    <row r="61" spans="1:16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31"/>
      <c r="N61" s="15"/>
      <c r="O61" s="15"/>
      <c r="P61" s="15"/>
    </row>
    <row r="62" spans="1:16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31"/>
      <c r="N62" s="15"/>
      <c r="O62" s="15"/>
      <c r="P62" s="15"/>
    </row>
    <row r="63" spans="1:16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31"/>
      <c r="N63" s="15"/>
      <c r="O63" s="15"/>
      <c r="P63" s="15"/>
    </row>
    <row r="64" spans="1:1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31"/>
      <c r="N64" s="15"/>
      <c r="O64" s="15"/>
      <c r="P64" s="15"/>
    </row>
    <row r="65" spans="1:1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31"/>
      <c r="N65" s="15"/>
      <c r="O65" s="15"/>
      <c r="P65" s="15"/>
    </row>
    <row r="66" spans="1:1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31"/>
      <c r="N66" s="15"/>
      <c r="O66" s="15"/>
      <c r="P66" s="15"/>
    </row>
    <row r="67" spans="1:1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31"/>
      <c r="N67" s="15"/>
      <c r="O67" s="15"/>
      <c r="P67" s="15"/>
    </row>
    <row r="68" spans="1:1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31"/>
      <c r="N68" s="15"/>
      <c r="O68" s="15"/>
      <c r="P68" s="15"/>
    </row>
    <row r="69" spans="1:16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31"/>
      <c r="N69" s="15"/>
      <c r="O69" s="15"/>
      <c r="P69" s="15"/>
    </row>
    <row r="70" spans="1:16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31"/>
      <c r="N70" s="15"/>
      <c r="O70" s="15"/>
      <c r="P70" s="15"/>
    </row>
    <row r="71" spans="1:16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31"/>
      <c r="N71" s="15"/>
      <c r="O71" s="15"/>
      <c r="P71" s="15"/>
    </row>
    <row r="72" spans="1:16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31"/>
      <c r="N72" s="15"/>
      <c r="O72" s="15"/>
      <c r="P72" s="15"/>
    </row>
    <row r="73" spans="1:16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31"/>
      <c r="N73" s="15"/>
      <c r="O73" s="15"/>
      <c r="P73" s="15"/>
    </row>
    <row r="74" spans="1:16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31"/>
      <c r="N74" s="15"/>
      <c r="O74" s="15"/>
      <c r="P74" s="15"/>
    </row>
    <row r="75" spans="1:16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31"/>
      <c r="N75" s="15"/>
      <c r="O75" s="15"/>
      <c r="P75" s="15"/>
    </row>
    <row r="76" spans="1:16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31"/>
      <c r="N76" s="15"/>
      <c r="O76" s="15"/>
      <c r="P76" s="15"/>
    </row>
    <row r="77" spans="1:16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31"/>
      <c r="N77" s="15"/>
      <c r="O77" s="15"/>
      <c r="P77" s="15"/>
    </row>
    <row r="78" spans="1:16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31"/>
      <c r="N78" s="15"/>
      <c r="O78" s="15"/>
      <c r="P78" s="15"/>
    </row>
    <row r="79" spans="1:16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31"/>
      <c r="N79" s="15"/>
      <c r="O79" s="15"/>
      <c r="P79" s="15"/>
    </row>
    <row r="80" spans="1:1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31"/>
      <c r="N80" s="15"/>
      <c r="O80" s="15"/>
      <c r="P80" s="15"/>
    </row>
    <row r="81" spans="1:1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31"/>
      <c r="N81" s="15"/>
      <c r="O81" s="15"/>
      <c r="P81" s="15"/>
    </row>
    <row r="82" spans="1:1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31"/>
      <c r="N82" s="15"/>
      <c r="O82" s="15"/>
      <c r="P82" s="15"/>
    </row>
    <row r="83" spans="1:1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31"/>
      <c r="N83" s="15"/>
      <c r="O83" s="15"/>
      <c r="P83" s="15"/>
    </row>
    <row r="84" spans="1:1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31"/>
      <c r="N84" s="15"/>
      <c r="O84" s="15"/>
      <c r="P84" s="15"/>
    </row>
    <row r="85" spans="1:1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31"/>
      <c r="N85" s="15"/>
      <c r="O85" s="15"/>
      <c r="P85" s="15"/>
    </row>
    <row r="86" spans="1:1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31"/>
      <c r="N86" s="15"/>
      <c r="O86" s="15"/>
      <c r="P86" s="15"/>
    </row>
    <row r="87" spans="1:1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31"/>
      <c r="N87" s="15"/>
      <c r="O87" s="15"/>
      <c r="P87" s="15"/>
    </row>
    <row r="88" spans="1:1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1"/>
      <c r="N88" s="15"/>
      <c r="O88" s="15"/>
      <c r="P88" s="15"/>
    </row>
    <row r="89" spans="1:1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31"/>
      <c r="N89" s="15"/>
      <c r="O89" s="15"/>
      <c r="P89" s="15"/>
    </row>
    <row r="90" spans="1:1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31"/>
      <c r="N90" s="15"/>
      <c r="O90" s="15"/>
      <c r="P90" s="15"/>
    </row>
    <row r="91" spans="1:1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31"/>
      <c r="N91" s="15"/>
      <c r="O91" s="15"/>
      <c r="P91" s="15"/>
    </row>
    <row r="92" spans="1:1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31"/>
      <c r="N92" s="15"/>
      <c r="O92" s="15"/>
      <c r="P92" s="15"/>
    </row>
    <row r="93" spans="1:1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31"/>
      <c r="N93" s="15"/>
      <c r="O93" s="15"/>
      <c r="P93" s="15"/>
    </row>
    <row r="94" spans="1:1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31"/>
      <c r="N94" s="15"/>
      <c r="O94" s="15"/>
      <c r="P94" s="15"/>
    </row>
    <row r="95" spans="1:1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31"/>
      <c r="N95" s="15"/>
      <c r="O95" s="15"/>
      <c r="P95" s="15"/>
    </row>
    <row r="96" spans="1:1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1"/>
      <c r="N96" s="15"/>
      <c r="O96" s="15"/>
      <c r="P96" s="15"/>
    </row>
    <row r="97" spans="1:1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31"/>
      <c r="N97" s="15"/>
      <c r="O97" s="15"/>
      <c r="P97" s="15"/>
    </row>
    <row r="98" spans="1:1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31"/>
      <c r="N98" s="15"/>
      <c r="O98" s="15"/>
      <c r="P98" s="15"/>
    </row>
    <row r="99" spans="1:1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31"/>
      <c r="N99" s="15"/>
      <c r="O99" s="15"/>
      <c r="P99" s="15"/>
    </row>
    <row r="100" spans="1:1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31"/>
      <c r="N100" s="15"/>
      <c r="O100" s="15"/>
      <c r="P100" s="15"/>
    </row>
  </sheetData>
  <autoFilter ref="A1:P100" xr:uid="{00000000-0009-0000-0000-000003000000}"/>
  <dataValidations count="4">
    <dataValidation type="list" allowBlank="1" sqref="E2:E100" xr:uid="{00000000-0002-0000-0300-000000000000}">
      <formula1>"Nghiêm trọng,Cao,Trung bình,Thấp"</formula1>
    </dataValidation>
    <dataValidation type="list" allowBlank="1" sqref="F2:F100" xr:uid="{00000000-0002-0000-0300-000001000000}">
      <formula1>"Cao,Trung bình,Thấp"</formula1>
    </dataValidation>
    <dataValidation type="list" allowBlank="1" sqref="O2:O100" xr:uid="{00000000-0002-0000-0300-000002000000}">
      <formula1>"Mới,Đang sửa,Đã sửa,Đã kiểm tra lại,Đóng,Không phải lỗi"</formula1>
    </dataValidation>
    <dataValidation type="list" allowBlank="1" sqref="D2:D100" xr:uid="{00000000-0002-0000-0300-000003000000}">
      <formula1>"Xác thực,Thực đơn,Giỏ hàng,Đặt hàng,Tài khoản khách,Manager,Admin,Nhân viên,Kiosk,Phi chức năng"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Hướng dẫn</vt:lpstr>
      <vt:lpstr>Test Cases</vt:lpstr>
      <vt:lpstr>Tổng hợp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Thinh</cp:lastModifiedBy>
  <dcterms:created xsi:type="dcterms:W3CDTF">2026-10-26T04:24:57Z</dcterms:created>
  <dcterms:modified xsi:type="dcterms:W3CDTF">2026-10-26T04:25:16Z</dcterms:modified>
</cp:coreProperties>
</file>